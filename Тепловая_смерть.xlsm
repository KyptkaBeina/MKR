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ртём\Desktop\"/>
    </mc:Choice>
  </mc:AlternateContent>
  <bookViews>
    <workbookView xWindow="5580" yWindow="0" windowWidth="19560" windowHeight="8235" tabRatio="636"/>
  </bookViews>
  <sheets>
    <sheet name="ГрУсл1Рода" sheetId="1" r:id="rId1"/>
    <sheet name="ГрУсл2Рода" sheetId="3" r:id="rId2"/>
    <sheet name="ГрУсл3Рода" sheetId="4" r:id="rId3"/>
    <sheet name="ГрУсл4Рода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5" i="6" l="1"/>
  <c r="F15" i="6"/>
  <c r="F16" i="4"/>
  <c r="F16" i="3"/>
  <c r="C4" i="6"/>
  <c r="AJ16" i="6" s="1"/>
  <c r="M16" i="6" l="1"/>
  <c r="U16" i="6"/>
  <c r="AC16" i="6"/>
  <c r="AG16" i="6"/>
  <c r="J16" i="6"/>
  <c r="R16" i="6"/>
  <c r="AD16" i="6"/>
  <c r="K16" i="6"/>
  <c r="O16" i="6"/>
  <c r="S16" i="6"/>
  <c r="W16" i="6"/>
  <c r="AA16" i="6"/>
  <c r="AE16" i="6"/>
  <c r="AI16" i="6"/>
  <c r="G16" i="6"/>
  <c r="I16" i="6"/>
  <c r="Q16" i="6"/>
  <c r="Y16" i="6"/>
  <c r="C5" i="6"/>
  <c r="N16" i="6"/>
  <c r="V16" i="6"/>
  <c r="Z16" i="6"/>
  <c r="AH16" i="6"/>
  <c r="G12" i="6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H16" i="6"/>
  <c r="L16" i="6"/>
  <c r="P16" i="6"/>
  <c r="T16" i="6"/>
  <c r="X16" i="6"/>
  <c r="AB16" i="6"/>
  <c r="AF16" i="6"/>
  <c r="C5" i="4"/>
  <c r="AF15" i="4" s="1"/>
  <c r="C4" i="4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C4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G15" i="6" l="1"/>
  <c r="AC15" i="6"/>
  <c r="Y15" i="6"/>
  <c r="U15" i="6"/>
  <c r="Q15" i="6"/>
  <c r="M15" i="6"/>
  <c r="I15" i="6"/>
  <c r="AI15" i="6"/>
  <c r="AA15" i="6"/>
  <c r="S15" i="6"/>
  <c r="K15" i="6"/>
  <c r="AD15" i="6"/>
  <c r="V15" i="6"/>
  <c r="N15" i="6"/>
  <c r="AF15" i="6"/>
  <c r="AB15" i="6"/>
  <c r="X15" i="6"/>
  <c r="T15" i="6"/>
  <c r="P15" i="6"/>
  <c r="L15" i="6"/>
  <c r="H15" i="6"/>
  <c r="AE15" i="6"/>
  <c r="W15" i="6"/>
  <c r="O15" i="6"/>
  <c r="G15" i="6"/>
  <c r="AH15" i="6"/>
  <c r="Z15" i="6"/>
  <c r="R15" i="6"/>
  <c r="J15" i="6"/>
  <c r="I15" i="4"/>
  <c r="M15" i="4"/>
  <c r="Q15" i="4"/>
  <c r="U15" i="4"/>
  <c r="Y15" i="4"/>
  <c r="AC15" i="4"/>
  <c r="AG15" i="4"/>
  <c r="J15" i="4"/>
  <c r="N15" i="4"/>
  <c r="R15" i="4"/>
  <c r="V15" i="4"/>
  <c r="Z15" i="4"/>
  <c r="AD15" i="4"/>
  <c r="AH15" i="4"/>
  <c r="K15" i="4"/>
  <c r="O15" i="4"/>
  <c r="S15" i="4"/>
  <c r="W15" i="4"/>
  <c r="AA15" i="4"/>
  <c r="AE15" i="4"/>
  <c r="AI15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H15" i="4"/>
  <c r="L15" i="4"/>
  <c r="P15" i="4"/>
  <c r="T15" i="4"/>
  <c r="X15" i="4"/>
  <c r="AB15" i="4"/>
  <c r="C5" i="3"/>
  <c r="G15" i="1"/>
  <c r="G15" i="4" l="1"/>
  <c r="AH15" i="3"/>
  <c r="AD15" i="3"/>
  <c r="Z15" i="3"/>
  <c r="V15" i="3"/>
  <c r="R15" i="3"/>
  <c r="N15" i="3"/>
  <c r="J15" i="3"/>
  <c r="AG15" i="3"/>
  <c r="AC15" i="3"/>
  <c r="Y15" i="3"/>
  <c r="U15" i="3"/>
  <c r="Q15" i="3"/>
  <c r="M15" i="3"/>
  <c r="I15" i="3"/>
  <c r="AF15" i="3"/>
  <c r="AB15" i="3"/>
  <c r="X15" i="3"/>
  <c r="T15" i="3"/>
  <c r="P15" i="3"/>
  <c r="L15" i="3"/>
  <c r="AE15" i="3"/>
  <c r="AA15" i="3"/>
  <c r="W15" i="3"/>
  <c r="S15" i="3"/>
  <c r="O15" i="3"/>
  <c r="K15" i="3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F13" i="1"/>
  <c r="H12" i="1"/>
  <c r="I12" i="1"/>
  <c r="J12" i="1"/>
  <c r="K12" i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H15" i="3"/>
  <c r="AI15" i="3"/>
  <c r="AJ16" i="3"/>
  <c r="F15" i="4" l="1"/>
  <c r="G16" i="3"/>
  <c r="G15" i="3" l="1"/>
</calcChain>
</file>

<file path=xl/sharedStrings.xml><?xml version="1.0" encoding="utf-8"?>
<sst xmlns="http://schemas.openxmlformats.org/spreadsheetml/2006/main" count="54" uniqueCount="15">
  <si>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</si>
  <si>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</si>
  <si>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</si>
  <si>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</si>
  <si>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</si>
  <si>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</si>
  <si>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</si>
  <si>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</si>
  <si>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</si>
  <si>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</si>
  <si>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</si>
  <si>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</si>
  <si>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q_iter</t>
  </si>
  <si>
    <t>T_fluid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</si>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</sst>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ГрУсл1Рода!$F$12:$AJ$12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ГрУсл1Рода!$F$13:$AJ$13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291.38133627455841</c:v>
                </c:pt>
                <c:pt idx="2">
                  <c:v>282.80535168564569</c:v>
                </c:pt>
                <c:pt idx="3">
                  <c:v>274.22936709673297</c:v>
                </c:pt>
                <c:pt idx="4">
                  <c:v>265.77955060250719</c:v>
                </c:pt>
                <c:pt idx="5">
                  <c:v>257.3297341082814</c:v>
                </c:pt>
                <c:pt idx="6">
                  <c:v>249.0840491173893</c:v>
                </c:pt>
                <c:pt idx="7">
                  <c:v>240.8383641264972</c:v>
                </c:pt>
                <c:pt idx="8">
                  <c:v>232.86583572740903</c:v>
                </c:pt>
                <c:pt idx="9">
                  <c:v>224.8933073283209</c:v>
                </c:pt>
                <c:pt idx="10">
                  <c:v>217.2510030700235</c:v>
                </c:pt>
                <c:pt idx="11">
                  <c:v>209.60869881172613</c:v>
                </c:pt>
                <c:pt idx="12">
                  <c:v>202.33923542097756</c:v>
                </c:pt>
                <c:pt idx="13">
                  <c:v>195.06977203022899</c:v>
                </c:pt>
                <c:pt idx="14">
                  <c:v>188.19945688801045</c:v>
                </c:pt>
                <c:pt idx="15">
                  <c:v>181.32914174579179</c:v>
                </c:pt>
                <c:pt idx="16">
                  <c:v>174.86682965216957</c:v>
                </c:pt>
                <c:pt idx="17">
                  <c:v>168.40451755854721</c:v>
                </c:pt>
                <c:pt idx="18">
                  <c:v>162.34123162278382</c:v>
                </c:pt>
                <c:pt idx="19">
                  <c:v>156.27794568702029</c:v>
                </c:pt>
                <c:pt idx="20">
                  <c:v>150.58727754804966</c:v>
                </c:pt>
                <c:pt idx="21">
                  <c:v>144.89660940907888</c:v>
                </c:pt>
                <c:pt idx="22">
                  <c:v>139.53587993101826</c:v>
                </c:pt>
                <c:pt idx="23">
                  <c:v>134.17515045295747</c:v>
                </c:pt>
                <c:pt idx="24">
                  <c:v>129.08727903976018</c:v>
                </c:pt>
                <c:pt idx="25">
                  <c:v>123.99940762656283</c:v>
                </c:pt>
                <c:pt idx="26">
                  <c:v>119.11540776071894</c:v>
                </c:pt>
                <c:pt idx="27">
                  <c:v>114.23140789487499</c:v>
                </c:pt>
                <c:pt idx="28">
                  <c:v>109.47339968744862</c:v>
                </c:pt>
                <c:pt idx="29">
                  <c:v>104.71539148002222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F-49C1-AEF4-26E48D6E0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709056"/>
        <c:axId val="297710368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ГрУсл1Рода!$F$12:$AJ$12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ГрУсл1Рода!$F$12:$AJ$12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57F-49C1-AEF4-26E48D6E0C5C}"/>
                  </c:ext>
                </c:extLst>
              </c15:ser>
            </c15:filteredLineSeries>
          </c:ext>
        </c:extLst>
      </c:lineChart>
      <c:catAx>
        <c:axId val="297709056"/>
        <c:scaling>
          <c:orientation val="minMax"/>
        </c:scaling>
        <c:delete val="0"/>
        <c:axPos val="b"/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10368"/>
        <c:crosses val="autoZero"/>
        <c:auto val="1"/>
        <c:lblAlgn val="ctr"/>
        <c:lblOffset val="100"/>
        <c:noMultiLvlLbl val="0"/>
      </c:catAx>
      <c:valAx>
        <c:axId val="2977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0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Распределение температуры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ГрУсл2Рода!$F$12:$AJ$12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ГрУсл2Рода!$F$13:$AJ$13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51-477F-B819-D684E65B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709056"/>
        <c:axId val="297710368"/>
      </c:lineChart>
      <c:catAx>
        <c:axId val="297709056"/>
        <c:scaling>
          <c:orientation val="minMax"/>
        </c:scaling>
        <c:delete val="0"/>
        <c:axPos val="b"/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10368"/>
        <c:crosses val="autoZero"/>
        <c:auto val="1"/>
        <c:lblAlgn val="ctr"/>
        <c:lblOffset val="100"/>
        <c:noMultiLvlLbl val="0"/>
      </c:catAx>
      <c:valAx>
        <c:axId val="2977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0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Распределение температуры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ГрУсл3Рода!$F$12:$AJ$12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ГрУсл3Рода!$F$13:$AJ$13</c:f>
              <c:numCache>
                <c:formatCode>General</c:formatCode>
                <c:ptCount val="31"/>
                <c:pt idx="0">
                  <c:v>22.31016878769427</c:v>
                </c:pt>
                <c:pt idx="1">
                  <c:v>21.102158162029134</c:v>
                </c:pt>
                <c:pt idx="2">
                  <c:v>19.914434679709036</c:v>
                </c:pt>
                <c:pt idx="3">
                  <c:v>18.766781423138553</c:v>
                </c:pt>
                <c:pt idx="4">
                  <c:v>17.659650536009494</c:v>
                </c:pt>
                <c:pt idx="5">
                  <c:v>16.592212835002286</c:v>
                </c:pt>
                <c:pt idx="6">
                  <c:v>15.564924947192452</c:v>
                </c:pt>
                <c:pt idx="7">
                  <c:v>14.576446119134609</c:v>
                </c:pt>
                <c:pt idx="8">
                  <c:v>13.627210979783687</c:v>
                </c:pt>
                <c:pt idx="9">
                  <c:v>12.715411425551547</c:v>
                </c:pt>
                <c:pt idx="10">
                  <c:v>11.841427818536644</c:v>
                </c:pt>
                <c:pt idx="11">
                  <c:v>11.003041440128666</c:v>
                </c:pt>
                <c:pt idx="12">
                  <c:v>10.200541741528234</c:v>
                </c:pt>
                <c:pt idx="13">
                  <c:v>9.4313663670571408</c:v>
                </c:pt>
                <c:pt idx="14">
                  <c:v>8.6956744864766549</c:v>
                </c:pt>
                <c:pt idx="15">
                  <c:v>7.9906347062901109</c:v>
                </c:pt>
                <c:pt idx="16">
                  <c:v>7.3162356449048396</c:v>
                </c:pt>
                <c:pt idx="17">
                  <c:v>6.6694562469288279</c:v>
                </c:pt>
                <c:pt idx="18">
                  <c:v>6.0500753508239997</c:v>
                </c:pt>
                <c:pt idx="19">
                  <c:v>5.4549634571154595</c:v>
                </c:pt>
                <c:pt idx="20">
                  <c:v>4.8836534217642367</c:v>
                </c:pt>
                <c:pt idx="21">
                  <c:v>4.3329874678539477</c:v>
                </c:pt>
                <c:pt idx="22">
                  <c:v>3.8022212481179518</c:v>
                </c:pt>
                <c:pt idx="23">
                  <c:v>3.2882450959453617</c:v>
                </c:pt>
                <c:pt idx="24">
                  <c:v>2.7900130740076041</c:v>
                </c:pt>
                <c:pt idx="25">
                  <c:v>2.3045337816319647</c:v>
                </c:pt>
                <c:pt idx="26">
                  <c:v>1.8304438118489845</c:v>
                </c:pt>
                <c:pt idx="27">
                  <c:v>1.3649318647051214</c:v>
                </c:pt>
                <c:pt idx="28">
                  <c:v>0.90631111279671495</c:v>
                </c:pt>
                <c:pt idx="29">
                  <c:v>0.45200221425016807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D-4AFA-AC2C-B09BE3885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709056"/>
        <c:axId val="297710368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ГрУсл3Рода!$F$12:$AJ$12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ГрУсл3Рода!$F$12:$AJ$12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E3D-4AFA-AC2C-B09BE3885C8B}"/>
                  </c:ext>
                </c:extLst>
              </c15:ser>
            </c15:filteredLineSeries>
          </c:ext>
        </c:extLst>
      </c:lineChart>
      <c:catAx>
        <c:axId val="297709056"/>
        <c:scaling>
          <c:orientation val="minMax"/>
        </c:scaling>
        <c:delete val="0"/>
        <c:axPos val="b"/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10368"/>
        <c:crosses val="autoZero"/>
        <c:auto val="1"/>
        <c:lblAlgn val="ctr"/>
        <c:lblOffset val="100"/>
        <c:noMultiLvlLbl val="0"/>
      </c:catAx>
      <c:valAx>
        <c:axId val="2977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0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Распределение температуры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ГрУсл3Рода!$F$12:$AJ$12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ГрУсл4Рода!$F$13:$AJ$13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289.95853388921415</c:v>
                </c:pt>
                <c:pt idx="2">
                  <c:v>279.95442372460195</c:v>
                </c:pt>
                <c:pt idx="3">
                  <c:v>269.9503135599897</c:v>
                </c:pt>
                <c:pt idx="4">
                  <c:v>260.05663356002907</c:v>
                </c:pt>
                <c:pt idx="5">
                  <c:v>250.16295356006847</c:v>
                </c:pt>
                <c:pt idx="6">
                  <c:v>240.44793736727112</c:v>
                </c:pt>
                <c:pt idx="7">
                  <c:v>230.73292117447374</c:v>
                </c:pt>
                <c:pt idx="8">
                  <c:v>221.2569729733062</c:v>
                </c:pt>
                <c:pt idx="9">
                  <c:v>211.78102477213864</c:v>
                </c:pt>
                <c:pt idx="10">
                  <c:v>202.59407622164071</c:v>
                </c:pt>
                <c:pt idx="11">
                  <c:v>193.40712767114266</c:v>
                </c:pt>
                <c:pt idx="12">
                  <c:v>184.54645670551673</c:v>
                </c:pt>
                <c:pt idx="13">
                  <c:v>175.68578573989066</c:v>
                </c:pt>
                <c:pt idx="14">
                  <c:v>167.1743923837293</c:v>
                </c:pt>
                <c:pt idx="15">
                  <c:v>158.66299902756782</c:v>
                </c:pt>
                <c:pt idx="16">
                  <c:v>150.50860833892821</c:v>
                </c:pt>
                <c:pt idx="17">
                  <c:v>142.35421765028849</c:v>
                </c:pt>
                <c:pt idx="18">
                  <c:v>134.54895195777451</c:v>
                </c:pt>
                <c:pt idx="19">
                  <c:v>126.74368626526042</c:v>
                </c:pt>
                <c:pt idx="20">
                  <c:v>119.2644193191733</c:v>
                </c:pt>
                <c:pt idx="21">
                  <c:v>111.78515237308613</c:v>
                </c:pt>
                <c:pt idx="22">
                  <c:v>104.59452822781762</c:v>
                </c:pt>
                <c:pt idx="23">
                  <c:v>97.403904082549076</c:v>
                </c:pt>
                <c:pt idx="24">
                  <c:v>90.451974770234656</c:v>
                </c:pt>
                <c:pt idx="25">
                  <c:v>83.500045457920237</c:v>
                </c:pt>
                <c:pt idx="26">
                  <c:v>76.726455007793746</c:v>
                </c:pt>
                <c:pt idx="27">
                  <c:v>69.952864557667255</c:v>
                </c:pt>
                <c:pt idx="28">
                  <c:v>63.289483726855579</c:v>
                </c:pt>
                <c:pt idx="29">
                  <c:v>56.626102896043911</c:v>
                </c:pt>
                <c:pt idx="3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F-4346-A0C6-6C38B964E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709056"/>
        <c:axId val="297710368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ГрУсл3Рода!$F$12:$AJ$12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ГрУсл3Рода!$F$12:$AJ$12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4CF-4346-A0C6-6C38B964E7ED}"/>
                  </c:ext>
                </c:extLst>
              </c15:ser>
            </c15:filteredLineSeries>
          </c:ext>
        </c:extLst>
      </c:lineChart>
      <c:catAx>
        <c:axId val="297709056"/>
        <c:scaling>
          <c:orientation val="minMax"/>
        </c:scaling>
        <c:delete val="0"/>
        <c:axPos val="b"/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10368"/>
        <c:crosses val="autoZero"/>
        <c:auto val="1"/>
        <c:lblAlgn val="ctr"/>
        <c:lblOffset val="100"/>
        <c:noMultiLvlLbl val="0"/>
      </c:catAx>
      <c:valAx>
        <c:axId val="2977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70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66675</xdr:colOff>
      <xdr:row>18</xdr:row>
      <xdr:rowOff>33337</xdr:rowOff>
    </xdr:from>
    <xdr:ext cx="3604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95738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5738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𝑇, [𝐶]</a:t>
              </a:r>
              <a:endParaRPr lang="en-US" sz="1100" b="0"/>
            </a:p>
          </xdr:txBody>
        </xdr:sp>
      </mc:Fallback>
    </mc:AlternateContent>
    <xdr:clientData/>
  </xdr:oneCellAnchor>
  <xdr:twoCellAnchor>
    <xdr:from>
      <xdr:col>4</xdr:col>
      <xdr:colOff>0</xdr:colOff>
      <xdr:row>15</xdr:row>
      <xdr:rowOff>0</xdr:rowOff>
    </xdr:from>
    <xdr:to>
      <xdr:col>24</xdr:col>
      <xdr:colOff>123826</xdr:colOff>
      <xdr:row>31</xdr:row>
      <xdr:rowOff>71438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0.01154</cdr:x>
      <cdr:y>0.03053</cdr:y>
    </cdr:from>
    <cdr:to>
      <cdr:x>0.05981</cdr:x>
      <cdr:y>0.1018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04776" y="95251"/>
              <a:ext cx="438150" cy="222322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04776" y="95251"/>
              <a:ext cx="438150" cy="222322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</cdr:txBody>
        </cdr:sp>
      </mc:Fallback>
    </mc:AlternateContent>
  </cdr:relSizeAnchor>
  <cdr:relSizeAnchor xmlns:cdr="http://schemas.openxmlformats.org/drawingml/2006/chartDrawing">
    <cdr:from>
      <cdr:x>0.91605</cdr:x>
      <cdr:y>0.79186</cdr:y>
    </cdr:from>
    <cdr:to>
      <cdr:x>0.98426</cdr:x>
      <cdr:y>0.87215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6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</cdr:txBody>
        </cdr:sp>
      </mc:Choice>
      <mc:Fallback xmlns="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6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66675</xdr:colOff>
      <xdr:row>18</xdr:row>
      <xdr:rowOff>33337</xdr:rowOff>
    </xdr:from>
    <xdr:ext cx="3604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𝑇, [𝐶]</a:t>
              </a:r>
              <a:endParaRPr lang="en-US" sz="1100" b="0"/>
            </a:p>
          </xdr:txBody>
        </xdr:sp>
      </mc:Fallback>
    </mc:AlternateContent>
    <xdr:clientData/>
  </xdr:oneCellAnchor>
  <xdr:twoCellAnchor>
    <xdr:from>
      <xdr:col>4</xdr:col>
      <xdr:colOff>0</xdr:colOff>
      <xdr:row>16</xdr:row>
      <xdr:rowOff>0</xdr:rowOff>
    </xdr:from>
    <xdr:to>
      <xdr:col>24</xdr:col>
      <xdr:colOff>123826</xdr:colOff>
      <xdr:row>32</xdr:row>
      <xdr:rowOff>71438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0.01331</cdr:x>
      <cdr:y>0.01628</cdr:y>
    </cdr:from>
    <cdr:to>
      <cdr:x>0.05561</cdr:x>
      <cdr:y>0.08654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20" y="50784"/>
              <a:ext cx="384006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20" y="50784"/>
              <a:ext cx="384006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</cdr:txBody>
        </cdr:sp>
      </mc:Fallback>
    </mc:AlternateContent>
  </cdr:relSizeAnchor>
  <cdr:relSizeAnchor xmlns:cdr="http://schemas.openxmlformats.org/drawingml/2006/chartDrawing">
    <cdr:from>
      <cdr:x>0.91605</cdr:x>
      <cdr:y>0.79186</cdr:y>
    </cdr:from>
    <cdr:to>
      <cdr:x>0.98426</cdr:x>
      <cdr:y>0.87215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6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</cdr:txBody>
        </cdr:sp>
      </mc:Choice>
      <mc:Fallback xmlns="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6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66675</xdr:colOff>
      <xdr:row>18</xdr:row>
      <xdr:rowOff>33337</xdr:rowOff>
    </xdr:from>
    <xdr:ext cx="3604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𝑇, [𝐶]</a:t>
              </a:r>
              <a:endParaRPr lang="en-US" sz="1100" b="0"/>
            </a:p>
          </xdr:txBody>
        </xdr:sp>
      </mc:Fallback>
    </mc:AlternateContent>
    <xdr:clientData/>
  </xdr:oneCellAnchor>
  <xdr:twoCellAnchor>
    <xdr:from>
      <xdr:col>4</xdr:col>
      <xdr:colOff>0</xdr:colOff>
      <xdr:row>16</xdr:row>
      <xdr:rowOff>0</xdr:rowOff>
    </xdr:from>
    <xdr:to>
      <xdr:col>24</xdr:col>
      <xdr:colOff>123826</xdr:colOff>
      <xdr:row>32</xdr:row>
      <xdr:rowOff>71438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0.01331</cdr:x>
      <cdr:y>0.01628</cdr:y>
    </cdr:from>
    <cdr:to>
      <cdr:x>0.05037</cdr:x>
      <cdr:y>0.08654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19" y="50783"/>
              <a:ext cx="336381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19" y="50783"/>
              <a:ext cx="336381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</cdr:txBody>
        </cdr:sp>
      </mc:Fallback>
    </mc:AlternateContent>
  </cdr:relSizeAnchor>
  <cdr:relSizeAnchor xmlns:cdr="http://schemas.openxmlformats.org/drawingml/2006/chartDrawing">
    <cdr:from>
      <cdr:x>0.91605</cdr:x>
      <cdr:y>0.79186</cdr:y>
    </cdr:from>
    <cdr:to>
      <cdr:x>0.98426</cdr:x>
      <cdr:y>0.87215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6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</cdr:txBody>
        </cdr:sp>
      </mc:Choice>
      <mc:Fallback xmlns="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6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</cdr:txBody>
        </cdr:sp>
      </mc:Fallback>
    </mc:AlternateContent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66675</xdr:colOff>
      <xdr:row>18</xdr:row>
      <xdr:rowOff>33337</xdr:rowOff>
    </xdr:from>
    <xdr:ext cx="3604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5039975" y="3462337"/>
              <a:ext cx="3604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𝑇, [𝐶]</a:t>
              </a:r>
              <a:endParaRPr lang="en-US" sz="1100" b="0"/>
            </a:p>
          </xdr:txBody>
        </xdr:sp>
      </mc:Fallback>
    </mc:AlternateContent>
    <xdr:clientData/>
  </xdr:oneCellAnchor>
  <xdr:twoCellAnchor>
    <xdr:from>
      <xdr:col>4</xdr:col>
      <xdr:colOff>0</xdr:colOff>
      <xdr:row>17</xdr:row>
      <xdr:rowOff>0</xdr:rowOff>
    </xdr:from>
    <xdr:to>
      <xdr:col>24</xdr:col>
      <xdr:colOff>123826</xdr:colOff>
      <xdr:row>33</xdr:row>
      <xdr:rowOff>71438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0.01331</cdr:x>
      <cdr:y>0.01628</cdr:y>
    </cdr:from>
    <cdr:to>
      <cdr:x>0.05456</cdr:x>
      <cdr:y>0.08654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19" y="50784"/>
              <a:ext cx="374481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</cdr:txBody>
        </cdr:sp>
      </mc:Choice>
      <mc:Fallback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20819" y="50784"/>
              <a:ext cx="374481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</cdr:txBody>
        </cdr:sp>
      </mc:Fallback>
    </mc:AlternateContent>
  </cdr:relSizeAnchor>
  <cdr:relSizeAnchor xmlns:cdr="http://schemas.openxmlformats.org/drawingml/2006/chartDrawing">
    <cdr:from>
      <cdr:x>0.91605</cdr:x>
      <cdr:y>0.79186</cdr:y>
    </cdr:from>
    <cdr:to>
      <cdr:x>0.98426</cdr:x>
      <cdr:y>0.87215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6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6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6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</cdr:txBody>
        </cdr:sp>
      </mc:Choice>
      <mc:Fallback xmlns="">
        <cdr:sp macro="" textlink="">
          <cdr:nvSpPr>
            <cdr:cNvPr id="3" name="TextBox 4"/>
            <cdr:cNvSpPr txBox="1"/>
          </cdr:nvSpPr>
          <cdr:spPr>
            <a:xfrm xmlns:a="http://schemas.openxmlformats.org/drawingml/2006/main">
              <a:off x="8315326" y="2470150"/>
              <a:ext cx="619125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/>
                <a:t>L</a:t>
              </a:r>
              <a:r>
                <a:rPr lang="en-US" sz="16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workbookViewId="0">
      <selection activeCell="Z19" sqref="Z19"/>
    </sheetView>
  </sheetViews>
  <sheetFormatPr defaultRowHeight="15" x14ac:dyDescent="0.25"/>
  <cols>
    <col min="5" max="36" width="6.7109375" customWidth="1"/>
  </cols>
  <sheetData>
    <row r="3" spans="2:36" x14ac:dyDescent="0.25">
      <c r="B3" s="1" t="s">
        <v>0</v>
      </c>
      <c r="C3" s="2">
        <v>0.1</v>
      </c>
    </row>
    <row r="4" spans="2:36" x14ac:dyDescent="0.25">
      <c r="B4" s="3" t="s">
        <v>1</v>
      </c>
      <c r="C4" s="4">
        <f>C3/30</f>
        <v>3.3333333333333335E-3</v>
      </c>
    </row>
    <row r="5" spans="2:36" x14ac:dyDescent="0.25">
      <c r="B5" s="3" t="s">
        <v>2</v>
      </c>
      <c r="C5" s="4">
        <f>(C9*C8*C4^2)/(2*C10)</f>
        <v>0.25219298245614041</v>
      </c>
    </row>
    <row r="6" spans="2:36" x14ac:dyDescent="0.25">
      <c r="B6" s="5" t="s">
        <v>3</v>
      </c>
      <c r="C6" s="6">
        <v>120</v>
      </c>
      <c r="D6" s="7">
        <v>120.04385964912284</v>
      </c>
    </row>
    <row r="7" spans="2:36" x14ac:dyDescent="0.25">
      <c r="B7" s="3"/>
      <c r="C7" s="4"/>
    </row>
    <row r="8" spans="2:36" x14ac:dyDescent="0.25">
      <c r="B8" s="1" t="s">
        <v>4</v>
      </c>
      <c r="C8" s="2">
        <v>460</v>
      </c>
    </row>
    <row r="9" spans="2:36" x14ac:dyDescent="0.25">
      <c r="B9" s="3" t="s">
        <v>5</v>
      </c>
      <c r="C9" s="4">
        <v>7500</v>
      </c>
    </row>
    <row r="10" spans="2:36" x14ac:dyDescent="0.25">
      <c r="B10" s="5" t="s">
        <v>6</v>
      </c>
      <c r="C10" s="6">
        <v>76</v>
      </c>
    </row>
    <row r="11" spans="2:36" x14ac:dyDescent="0.25">
      <c r="B11" s="3"/>
      <c r="C11" s="4"/>
      <c r="E11" s="1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2">
        <v>31</v>
      </c>
    </row>
    <row r="12" spans="2:36" x14ac:dyDescent="0.25">
      <c r="B12" s="1" t="s">
        <v>8</v>
      </c>
      <c r="C12" s="2">
        <v>300</v>
      </c>
      <c r="E12" s="11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2">
        <f t="shared" si="0"/>
        <v>9.9999999999999936E-2</v>
      </c>
    </row>
    <row r="13" spans="2:36" x14ac:dyDescent="0.25">
      <c r="B13" s="5" t="s">
        <v>9</v>
      </c>
      <c r="C13" s="6">
        <v>100</v>
      </c>
      <c r="E13" s="12" t="s">
        <v>7</v>
      </c>
      <c r="F13" s="10">
        <f>C12</f>
        <v>300</v>
      </c>
      <c r="G13" s="10">
        <v>291.38133627455841</v>
      </c>
      <c r="H13" s="10">
        <v>282.80535168564569</v>
      </c>
      <c r="I13" s="10">
        <v>274.22936709673297</v>
      </c>
      <c r="J13" s="10">
        <v>265.77955060250719</v>
      </c>
      <c r="K13" s="10">
        <v>257.3297341082814</v>
      </c>
      <c r="L13" s="10">
        <v>249.0840491173893</v>
      </c>
      <c r="M13" s="10">
        <v>240.8383641264972</v>
      </c>
      <c r="N13" s="10">
        <v>232.86583572740903</v>
      </c>
      <c r="O13" s="10">
        <v>224.8933073283209</v>
      </c>
      <c r="P13" s="10">
        <v>217.2510030700235</v>
      </c>
      <c r="Q13" s="10">
        <v>209.60869881172613</v>
      </c>
      <c r="R13" s="10">
        <v>202.33923542097756</v>
      </c>
      <c r="S13" s="10">
        <v>195.06977203022899</v>
      </c>
      <c r="T13" s="10">
        <v>188.19945688801045</v>
      </c>
      <c r="U13" s="10">
        <v>181.32914174579179</v>
      </c>
      <c r="V13" s="10">
        <v>174.86682965216957</v>
      </c>
      <c r="W13" s="10">
        <v>168.40451755854721</v>
      </c>
      <c r="X13" s="10">
        <v>162.34123162278382</v>
      </c>
      <c r="Y13" s="10">
        <v>156.27794568702029</v>
      </c>
      <c r="Z13" s="10">
        <v>150.58727754804966</v>
      </c>
      <c r="AA13" s="10">
        <v>144.89660940907888</v>
      </c>
      <c r="AB13" s="10">
        <v>139.53587993101826</v>
      </c>
      <c r="AC13" s="10">
        <v>134.17515045295747</v>
      </c>
      <c r="AD13" s="10">
        <v>129.08727903976018</v>
      </c>
      <c r="AE13" s="10">
        <v>123.99940762656283</v>
      </c>
      <c r="AF13" s="10">
        <v>119.11540776071894</v>
      </c>
      <c r="AG13" s="10">
        <v>114.23140789487499</v>
      </c>
      <c r="AH13" s="10">
        <v>109.47339968744862</v>
      </c>
      <c r="AI13" s="10">
        <v>104.71539148002222</v>
      </c>
      <c r="AJ13" s="6">
        <v>100</v>
      </c>
    </row>
    <row r="14" spans="2:36" x14ac:dyDescent="0.25">
      <c r="E14" s="1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4"/>
    </row>
    <row r="15" spans="2:36" x14ac:dyDescent="0.25">
      <c r="E15" s="12" t="s">
        <v>10</v>
      </c>
      <c r="F15" s="10"/>
      <c r="G15" s="10">
        <f>G13+($C$10*$C$5)/($C$9*$C$8)*((H13-2*G13+F13)/($C$4^2))</f>
        <v>291.40267584282287</v>
      </c>
      <c r="H15" s="10">
        <f t="shared" ref="H15:AI15" si="1">H13+($C$10*$C$5)/($C$9*$C$8)*((I13-2*H13+G13)/($C$4^2))</f>
        <v>282.80535168564569</v>
      </c>
      <c r="I15" s="10">
        <f t="shared" si="1"/>
        <v>274.29245114407644</v>
      </c>
      <c r="J15" s="10">
        <f t="shared" si="1"/>
        <v>265.77955060250719</v>
      </c>
      <c r="K15" s="10">
        <f t="shared" si="1"/>
        <v>257.43179985994823</v>
      </c>
      <c r="L15" s="10">
        <f t="shared" si="1"/>
        <v>249.0840491173893</v>
      </c>
      <c r="M15" s="10">
        <f t="shared" si="1"/>
        <v>240.97494242239918</v>
      </c>
      <c r="N15" s="10">
        <f t="shared" si="1"/>
        <v>232.86583572740903</v>
      </c>
      <c r="O15" s="10">
        <f t="shared" si="1"/>
        <v>225.05841939871627</v>
      </c>
      <c r="P15" s="10">
        <f t="shared" si="1"/>
        <v>217.2510030700235</v>
      </c>
      <c r="Q15" s="10">
        <f t="shared" si="1"/>
        <v>209.79511924550053</v>
      </c>
      <c r="R15" s="10">
        <f t="shared" si="1"/>
        <v>202.33923542097756</v>
      </c>
      <c r="S15" s="10">
        <f t="shared" si="1"/>
        <v>195.269346154494</v>
      </c>
      <c r="T15" s="10">
        <f t="shared" si="1"/>
        <v>188.19945688801039</v>
      </c>
      <c r="U15" s="10">
        <f t="shared" si="1"/>
        <v>181.53314327009002</v>
      </c>
      <c r="V15" s="10">
        <f t="shared" si="1"/>
        <v>174.86682965216949</v>
      </c>
      <c r="W15" s="10">
        <f t="shared" si="1"/>
        <v>168.60403063747668</v>
      </c>
      <c r="X15" s="10">
        <f t="shared" si="1"/>
        <v>162.34123162278377</v>
      </c>
      <c r="Y15" s="10">
        <f t="shared" si="1"/>
        <v>156.46425458541674</v>
      </c>
      <c r="Z15" s="10">
        <f t="shared" si="1"/>
        <v>150.5872775480496</v>
      </c>
      <c r="AA15" s="10">
        <f t="shared" si="1"/>
        <v>145.06157873953396</v>
      </c>
      <c r="AB15" s="10">
        <f t="shared" si="1"/>
        <v>139.53587993101817</v>
      </c>
      <c r="AC15" s="10">
        <f t="shared" si="1"/>
        <v>134.31157948538922</v>
      </c>
      <c r="AD15" s="10">
        <f t="shared" si="1"/>
        <v>129.08727903976015</v>
      </c>
      <c r="AE15" s="10">
        <f t="shared" si="1"/>
        <v>124.10134340023956</v>
      </c>
      <c r="AF15" s="10">
        <f t="shared" si="1"/>
        <v>119.11540776071891</v>
      </c>
      <c r="AG15" s="10">
        <f t="shared" si="1"/>
        <v>114.29440372408378</v>
      </c>
      <c r="AH15" s="10">
        <f t="shared" si="1"/>
        <v>109.47339968744861</v>
      </c>
      <c r="AI15" s="10">
        <f t="shared" si="1"/>
        <v>104.73669984372431</v>
      </c>
      <c r="AJ15" s="6"/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opLeftCell="A11" zoomScaleNormal="100" workbookViewId="0">
      <selection activeCell="Z20" sqref="Z20"/>
    </sheetView>
  </sheetViews>
  <sheetFormatPr defaultRowHeight="15" x14ac:dyDescent="0.25"/>
  <cols>
    <col min="5" max="36" width="6.7109375" customWidth="1"/>
  </cols>
  <sheetData>
    <row r="3" spans="2:36" x14ac:dyDescent="0.25">
      <c r="B3" s="1" t="s">
        <v>0</v>
      </c>
      <c r="C3" s="11">
        <v>0.1</v>
      </c>
    </row>
    <row r="4" spans="2:36" x14ac:dyDescent="0.25">
      <c r="B4" s="3" t="s">
        <v>1</v>
      </c>
      <c r="C4" s="13">
        <f>C3/30</f>
        <v>3.3333333333333335E-3</v>
      </c>
    </row>
    <row r="5" spans="2:36" x14ac:dyDescent="0.25">
      <c r="B5" s="3" t="s">
        <v>2</v>
      </c>
      <c r="C5" s="13">
        <f>(C9*C8*C4^2)/(2*C10)</f>
        <v>0.25219298245614041</v>
      </c>
    </row>
    <row r="6" spans="2:36" x14ac:dyDescent="0.25">
      <c r="B6" s="5" t="s">
        <v>3</v>
      </c>
      <c r="C6" s="12">
        <v>120</v>
      </c>
      <c r="D6" s="14">
        <v>68.344298245614056</v>
      </c>
    </row>
    <row r="7" spans="2:36" x14ac:dyDescent="0.25">
      <c r="B7" s="3"/>
      <c r="C7" s="13"/>
    </row>
    <row r="8" spans="2:36" x14ac:dyDescent="0.25">
      <c r="B8" s="1" t="s">
        <v>4</v>
      </c>
      <c r="C8" s="11">
        <v>460</v>
      </c>
    </row>
    <row r="9" spans="2:36" x14ac:dyDescent="0.25">
      <c r="B9" s="3" t="s">
        <v>5</v>
      </c>
      <c r="C9" s="13">
        <v>7500</v>
      </c>
    </row>
    <row r="10" spans="2:36" x14ac:dyDescent="0.25">
      <c r="B10" s="5" t="s">
        <v>6</v>
      </c>
      <c r="C10" s="12">
        <v>76</v>
      </c>
    </row>
    <row r="11" spans="2:36" x14ac:dyDescent="0.25">
      <c r="B11" s="3"/>
      <c r="C11" s="13"/>
      <c r="E11" s="1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2">
        <v>31</v>
      </c>
    </row>
    <row r="12" spans="2:36" x14ac:dyDescent="0.25">
      <c r="B12" s="1" t="s">
        <v>11</v>
      </c>
      <c r="C12" s="11">
        <v>92000</v>
      </c>
      <c r="E12" s="11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2">
        <f t="shared" si="0"/>
        <v>9.9999999999999936E-2</v>
      </c>
    </row>
    <row r="13" spans="2:36" x14ac:dyDescent="0.25">
      <c r="B13" s="5" t="s">
        <v>9</v>
      </c>
      <c r="C13" s="12">
        <v>50</v>
      </c>
      <c r="E13" s="12" t="s">
        <v>7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  <c r="AC13" s="10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6">
        <v>50</v>
      </c>
    </row>
    <row r="14" spans="2:36" x14ac:dyDescent="0.25">
      <c r="E14" s="1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4"/>
    </row>
    <row r="15" spans="2:36" x14ac:dyDescent="0.25">
      <c r="E15" s="11" t="s">
        <v>10</v>
      </c>
      <c r="F15" s="8"/>
      <c r="G15" s="8">
        <f>G13+($C$10*$C$5)/($C$9*$C$8)*((H13-2*G13+F13)/($C$4^2))</f>
        <v>0</v>
      </c>
      <c r="H15" s="8">
        <f t="shared" ref="H15:AI15" si="1">H13+($C$10*$C$5)/($C$9*$C$8)*((I13-2*H13+G13)/($C$4^2))</f>
        <v>0</v>
      </c>
      <c r="I15" s="8">
        <f t="shared" si="1"/>
        <v>0</v>
      </c>
      <c r="J15" s="8">
        <f t="shared" si="1"/>
        <v>0</v>
      </c>
      <c r="K15" s="8">
        <f t="shared" si="1"/>
        <v>0</v>
      </c>
      <c r="L15" s="8">
        <f t="shared" si="1"/>
        <v>0</v>
      </c>
      <c r="M15" s="8">
        <f t="shared" si="1"/>
        <v>0</v>
      </c>
      <c r="N15" s="8">
        <f t="shared" si="1"/>
        <v>0</v>
      </c>
      <c r="O15" s="8">
        <f t="shared" si="1"/>
        <v>0</v>
      </c>
      <c r="P15" s="8">
        <f t="shared" si="1"/>
        <v>0</v>
      </c>
      <c r="Q15" s="8">
        <f t="shared" si="1"/>
        <v>0</v>
      </c>
      <c r="R15" s="8">
        <f t="shared" si="1"/>
        <v>0</v>
      </c>
      <c r="S15" s="8">
        <f t="shared" si="1"/>
        <v>0</v>
      </c>
      <c r="T15" s="8">
        <f t="shared" si="1"/>
        <v>0</v>
      </c>
      <c r="U15" s="8">
        <f t="shared" si="1"/>
        <v>0</v>
      </c>
      <c r="V15" s="8">
        <f t="shared" si="1"/>
        <v>0</v>
      </c>
      <c r="W15" s="8">
        <f t="shared" si="1"/>
        <v>0</v>
      </c>
      <c r="X15" s="8">
        <f t="shared" si="1"/>
        <v>0</v>
      </c>
      <c r="Y15" s="8">
        <f t="shared" si="1"/>
        <v>0</v>
      </c>
      <c r="Z15" s="8">
        <f t="shared" si="1"/>
        <v>0</v>
      </c>
      <c r="AA15" s="8">
        <f t="shared" si="1"/>
        <v>0</v>
      </c>
      <c r="AB15" s="8">
        <f t="shared" si="1"/>
        <v>0</v>
      </c>
      <c r="AC15" s="8">
        <f t="shared" si="1"/>
        <v>0</v>
      </c>
      <c r="AD15" s="8">
        <f t="shared" si="1"/>
        <v>0</v>
      </c>
      <c r="AE15" s="8">
        <f t="shared" si="1"/>
        <v>0</v>
      </c>
      <c r="AF15" s="8">
        <f t="shared" si="1"/>
        <v>0</v>
      </c>
      <c r="AG15" s="8">
        <f t="shared" si="1"/>
        <v>0</v>
      </c>
      <c r="AH15" s="8">
        <f t="shared" si="1"/>
        <v>0</v>
      </c>
      <c r="AI15" s="8">
        <f t="shared" si="1"/>
        <v>25</v>
      </c>
      <c r="AJ15" s="2"/>
    </row>
    <row r="16" spans="2:36" x14ac:dyDescent="0.25">
      <c r="E16" s="12" t="s">
        <v>12</v>
      </c>
      <c r="F16" s="10">
        <f>C12</f>
        <v>92000</v>
      </c>
      <c r="G16" s="10">
        <f>-$C$10*(G13-F13)/$C$4</f>
        <v>0</v>
      </c>
      <c r="H16" s="10">
        <f t="shared" ref="H16:AJ16" si="2">-$C$10*(H13-G13)/$C$4</f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10">
        <f t="shared" si="2"/>
        <v>0</v>
      </c>
      <c r="N16" s="10">
        <f t="shared" si="2"/>
        <v>0</v>
      </c>
      <c r="O16" s="10">
        <f t="shared" si="2"/>
        <v>0</v>
      </c>
      <c r="P16" s="10">
        <f t="shared" si="2"/>
        <v>0</v>
      </c>
      <c r="Q16" s="10">
        <f t="shared" si="2"/>
        <v>0</v>
      </c>
      <c r="R16" s="10">
        <f t="shared" si="2"/>
        <v>0</v>
      </c>
      <c r="S16" s="10">
        <f t="shared" si="2"/>
        <v>0</v>
      </c>
      <c r="T16" s="10">
        <f t="shared" si="2"/>
        <v>0</v>
      </c>
      <c r="U16" s="10">
        <f t="shared" si="2"/>
        <v>0</v>
      </c>
      <c r="V16" s="10">
        <f t="shared" si="2"/>
        <v>0</v>
      </c>
      <c r="W16" s="10">
        <f t="shared" si="2"/>
        <v>0</v>
      </c>
      <c r="X16" s="10">
        <f t="shared" si="2"/>
        <v>0</v>
      </c>
      <c r="Y16" s="10">
        <f t="shared" si="2"/>
        <v>0</v>
      </c>
      <c r="Z16" s="10">
        <f t="shared" si="2"/>
        <v>0</v>
      </c>
      <c r="AA16" s="10">
        <f t="shared" si="2"/>
        <v>0</v>
      </c>
      <c r="AB16" s="10">
        <f t="shared" si="2"/>
        <v>0</v>
      </c>
      <c r="AC16" s="10">
        <f t="shared" si="2"/>
        <v>0</v>
      </c>
      <c r="AD16" s="10">
        <f t="shared" si="2"/>
        <v>0</v>
      </c>
      <c r="AE16" s="10">
        <f t="shared" si="2"/>
        <v>0</v>
      </c>
      <c r="AF16" s="10">
        <f t="shared" si="2"/>
        <v>0</v>
      </c>
      <c r="AG16" s="10">
        <f t="shared" si="2"/>
        <v>0</v>
      </c>
      <c r="AH16" s="10">
        <f t="shared" si="2"/>
        <v>0</v>
      </c>
      <c r="AI16" s="10">
        <f t="shared" si="2"/>
        <v>0</v>
      </c>
      <c r="AJ16" s="6">
        <f t="shared" si="2"/>
        <v>-1140000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6"/>
  <sheetViews>
    <sheetView topLeftCell="A11" workbookViewId="0">
      <selection activeCell="J16" sqref="J16"/>
    </sheetView>
  </sheetViews>
  <sheetFormatPr defaultRowHeight="15" x14ac:dyDescent="0.25"/>
  <cols>
    <col min="5" max="36" width="6.7109375" customWidth="1"/>
  </cols>
  <sheetData>
    <row r="3" spans="2:36" x14ac:dyDescent="0.25">
      <c r="B3" t="s">
        <v>0</v>
      </c>
      <c r="C3">
        <v>0.1</v>
      </c>
    </row>
    <row r="4" spans="2:36" x14ac:dyDescent="0.25">
      <c r="B4" t="s">
        <v>1</v>
      </c>
      <c r="C4">
        <f>C3/30</f>
        <v>3.3333333333333335E-3</v>
      </c>
    </row>
    <row r="5" spans="2:36" x14ac:dyDescent="0.25">
      <c r="B5" t="s">
        <v>2</v>
      </c>
      <c r="C5">
        <f>(C9*C8*C4^2)/(2*C10)</f>
        <v>0.25219298245614041</v>
      </c>
    </row>
    <row r="6" spans="2:36" x14ac:dyDescent="0.25">
      <c r="B6" t="s">
        <v>3</v>
      </c>
      <c r="C6">
        <v>120</v>
      </c>
      <c r="D6">
        <v>120.04385964912284</v>
      </c>
    </row>
    <row r="8" spans="2:36" x14ac:dyDescent="0.25">
      <c r="B8" t="s">
        <v>4</v>
      </c>
      <c r="C8">
        <v>460</v>
      </c>
    </row>
    <row r="9" spans="2:36" x14ac:dyDescent="0.25">
      <c r="B9" t="s">
        <v>5</v>
      </c>
      <c r="C9">
        <v>7500</v>
      </c>
    </row>
    <row r="10" spans="2:36" x14ac:dyDescent="0.25">
      <c r="B10" t="s">
        <v>6</v>
      </c>
      <c r="C10">
        <v>76</v>
      </c>
    </row>
    <row r="11" spans="2:36" x14ac:dyDescent="0.25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25">
      <c r="B12" t="s">
        <v>11</v>
      </c>
      <c r="C12">
        <v>300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 x14ac:dyDescent="0.25">
      <c r="B13" t="s">
        <v>9</v>
      </c>
      <c r="C13">
        <v>0</v>
      </c>
      <c r="E13" t="s">
        <v>7</v>
      </c>
      <c r="F13">
        <v>22.31016878769427</v>
      </c>
      <c r="G13">
        <v>21.102158162029134</v>
      </c>
      <c r="H13">
        <v>19.914434679709036</v>
      </c>
      <c r="I13">
        <v>18.766781423138553</v>
      </c>
      <c r="J13">
        <v>17.659650536009494</v>
      </c>
      <c r="K13">
        <v>16.592212835002286</v>
      </c>
      <c r="L13">
        <v>15.564924947192452</v>
      </c>
      <c r="M13">
        <v>14.576446119134609</v>
      </c>
      <c r="N13">
        <v>13.627210979783687</v>
      </c>
      <c r="O13">
        <v>12.715411425551547</v>
      </c>
      <c r="P13">
        <v>11.841427818536644</v>
      </c>
      <c r="Q13">
        <v>11.003041440128666</v>
      </c>
      <c r="R13">
        <v>10.200541741528234</v>
      </c>
      <c r="S13">
        <v>9.4313663670571408</v>
      </c>
      <c r="T13">
        <v>8.6956744864766549</v>
      </c>
      <c r="U13">
        <v>7.9906347062901109</v>
      </c>
      <c r="V13">
        <v>7.3162356449048396</v>
      </c>
      <c r="W13">
        <v>6.6694562469288279</v>
      </c>
      <c r="X13">
        <v>6.0500753508239997</v>
      </c>
      <c r="Y13">
        <v>5.4549634571154595</v>
      </c>
      <c r="Z13">
        <v>4.8836534217642367</v>
      </c>
      <c r="AA13">
        <v>4.3329874678539477</v>
      </c>
      <c r="AB13">
        <v>3.8022212481179518</v>
      </c>
      <c r="AC13">
        <v>3.2882450959453617</v>
      </c>
      <c r="AD13">
        <v>2.7900130740076041</v>
      </c>
      <c r="AE13">
        <v>2.3045337816319647</v>
      </c>
      <c r="AF13">
        <v>1.8304438118489845</v>
      </c>
      <c r="AG13">
        <v>1.3649318647051214</v>
      </c>
      <c r="AH13">
        <v>0.90631111279671495</v>
      </c>
      <c r="AI13">
        <v>0.45200221425016807</v>
      </c>
      <c r="AJ13">
        <v>0</v>
      </c>
    </row>
    <row r="14" spans="2:36" x14ac:dyDescent="0.25">
      <c r="B14" t="s">
        <v>13</v>
      </c>
      <c r="C14">
        <v>300</v>
      </c>
    </row>
    <row r="15" spans="2:36" x14ac:dyDescent="0.25">
      <c r="B15" t="s">
        <v>14</v>
      </c>
      <c r="C15">
        <v>100</v>
      </c>
      <c r="E15" t="s">
        <v>10</v>
      </c>
      <c r="F15">
        <f>F16*C4/C10+G15</f>
        <v>22.330239589895974</v>
      </c>
      <c r="G15">
        <f>G13+($C$10*$C$5)/($C$9*$C$8)*((H13-2*G13+F13)/($C$4^2))</f>
        <v>21.112301733701653</v>
      </c>
      <c r="H15">
        <f t="shared" ref="H15:AI15" si="1">H13+($C$10*$C$5)/($C$9*$C$8)*((I13-2*H13+G13)/($C$4^2))</f>
        <v>19.934469792583844</v>
      </c>
      <c r="I15">
        <f t="shared" si="1"/>
        <v>18.787042607859263</v>
      </c>
      <c r="J15">
        <f t="shared" si="1"/>
        <v>17.67949712907042</v>
      </c>
      <c r="K15">
        <f t="shared" si="1"/>
        <v>16.612287741600973</v>
      </c>
      <c r="L15">
        <f t="shared" si="1"/>
        <v>15.584329477068447</v>
      </c>
      <c r="M15">
        <f t="shared" si="1"/>
        <v>14.596067963488069</v>
      </c>
      <c r="N15">
        <f t="shared" si="1"/>
        <v>13.645928772343078</v>
      </c>
      <c r="O15">
        <f t="shared" si="1"/>
        <v>12.734319399160166</v>
      </c>
      <c r="P15">
        <f t="shared" si="1"/>
        <v>11.859226432840106</v>
      </c>
      <c r="Q15">
        <f t="shared" si="1"/>
        <v>11.020984780032439</v>
      </c>
      <c r="R15">
        <f t="shared" si="1"/>
        <v>10.217203903592903</v>
      </c>
      <c r="S15">
        <f t="shared" si="1"/>
        <v>9.4481081140024443</v>
      </c>
      <c r="T15">
        <f t="shared" si="1"/>
        <v>8.7110005366736267</v>
      </c>
      <c r="U15">
        <f t="shared" si="1"/>
        <v>8.0059550656907472</v>
      </c>
      <c r="V15">
        <f t="shared" si="1"/>
        <v>7.3300454766094694</v>
      </c>
      <c r="W15">
        <f t="shared" si="1"/>
        <v>6.6831554978644192</v>
      </c>
      <c r="X15">
        <f t="shared" si="1"/>
        <v>6.0622098520221437</v>
      </c>
      <c r="Y15">
        <f t="shared" si="1"/>
        <v>5.4668643862941178</v>
      </c>
      <c r="Z15">
        <f t="shared" si="1"/>
        <v>4.8939754624847041</v>
      </c>
      <c r="AA15">
        <f t="shared" si="1"/>
        <v>4.3429373349410945</v>
      </c>
      <c r="AB15">
        <f t="shared" si="1"/>
        <v>3.8106162818996547</v>
      </c>
      <c r="AC15">
        <f t="shared" si="1"/>
        <v>3.296117161062778</v>
      </c>
      <c r="AD15">
        <f t="shared" si="1"/>
        <v>2.7963894387886632</v>
      </c>
      <c r="AE15">
        <f t="shared" si="1"/>
        <v>2.3102284429282944</v>
      </c>
      <c r="AF15">
        <f t="shared" si="1"/>
        <v>1.8347328231685431</v>
      </c>
      <c r="AG15">
        <f t="shared" si="1"/>
        <v>1.3683774623228497</v>
      </c>
      <c r="AH15">
        <f t="shared" si="1"/>
        <v>0.90846703947764473</v>
      </c>
      <c r="AI15">
        <f t="shared" si="1"/>
        <v>0.45315555639835747</v>
      </c>
    </row>
    <row r="16" spans="2:36" x14ac:dyDescent="0.25">
      <c r="E16" t="s">
        <v>12</v>
      </c>
      <c r="F16">
        <f>C15*(C14-F13)</f>
        <v>27768.983121230569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AJ16"/>
  <sheetViews>
    <sheetView topLeftCell="A11" workbookViewId="0">
      <selection activeCell="Y19" sqref="Y19"/>
    </sheetView>
  </sheetViews>
  <sheetFormatPr defaultRowHeight="15" x14ac:dyDescent="0.25"/>
  <cols>
    <col min="5" max="36" width="6.7109375" customWidth="1"/>
  </cols>
  <sheetData>
    <row r="3" spans="2:36" x14ac:dyDescent="0.25">
      <c r="B3" s="1" t="s">
        <v>0</v>
      </c>
      <c r="C3" s="2">
        <v>0.1</v>
      </c>
    </row>
    <row r="4" spans="2:36" x14ac:dyDescent="0.25">
      <c r="B4" s="3" t="s">
        <v>1</v>
      </c>
      <c r="C4" s="4">
        <f>C3/30</f>
        <v>3.3333333333333335E-3</v>
      </c>
    </row>
    <row r="5" spans="2:36" x14ac:dyDescent="0.25">
      <c r="B5" s="3" t="s">
        <v>2</v>
      </c>
      <c r="C5" s="4">
        <f>(C9*C8*C4^2)/(2*C10)</f>
        <v>0.25219298245614041</v>
      </c>
    </row>
    <row r="6" spans="2:36" x14ac:dyDescent="0.25">
      <c r="B6" s="5" t="s">
        <v>3</v>
      </c>
      <c r="C6" s="6">
        <v>120</v>
      </c>
      <c r="D6" s="7">
        <v>120.04385964912284</v>
      </c>
    </row>
    <row r="7" spans="2:36" x14ac:dyDescent="0.25">
      <c r="B7" s="3"/>
      <c r="C7" s="4"/>
    </row>
    <row r="8" spans="2:36" x14ac:dyDescent="0.25">
      <c r="B8" s="1" t="s">
        <v>4</v>
      </c>
      <c r="C8" s="2">
        <v>460</v>
      </c>
    </row>
    <row r="9" spans="2:36" x14ac:dyDescent="0.25">
      <c r="B9" s="3" t="s">
        <v>5</v>
      </c>
      <c r="C9" s="4">
        <v>7500</v>
      </c>
    </row>
    <row r="10" spans="2:36" x14ac:dyDescent="0.25">
      <c r="B10" s="5" t="s">
        <v>6</v>
      </c>
      <c r="C10" s="6">
        <v>76</v>
      </c>
    </row>
    <row r="11" spans="2:36" x14ac:dyDescent="0.25">
      <c r="B11" s="3"/>
      <c r="C11" s="4"/>
      <c r="E11" s="7"/>
      <c r="F11" s="15">
        <v>1</v>
      </c>
      <c r="G11" s="15">
        <v>2</v>
      </c>
      <c r="H11" s="15">
        <v>3</v>
      </c>
      <c r="I11" s="15">
        <v>4</v>
      </c>
      <c r="J11" s="15">
        <v>5</v>
      </c>
      <c r="K11" s="15">
        <v>6</v>
      </c>
      <c r="L11" s="15">
        <v>7</v>
      </c>
      <c r="M11" s="15">
        <v>8</v>
      </c>
      <c r="N11" s="15">
        <v>9</v>
      </c>
      <c r="O11" s="15">
        <v>10</v>
      </c>
      <c r="P11" s="15">
        <v>11</v>
      </c>
      <c r="Q11" s="15">
        <v>12</v>
      </c>
      <c r="R11" s="15">
        <v>13</v>
      </c>
      <c r="S11" s="15">
        <v>14</v>
      </c>
      <c r="T11" s="15">
        <v>15</v>
      </c>
      <c r="U11" s="15">
        <v>16</v>
      </c>
      <c r="V11" s="15">
        <v>17</v>
      </c>
      <c r="W11" s="15">
        <v>18</v>
      </c>
      <c r="X11" s="15">
        <v>19</v>
      </c>
      <c r="Y11" s="15">
        <v>20</v>
      </c>
      <c r="Z11" s="15">
        <v>21</v>
      </c>
      <c r="AA11" s="15">
        <v>22</v>
      </c>
      <c r="AB11" s="15">
        <v>23</v>
      </c>
      <c r="AC11" s="15">
        <v>24</v>
      </c>
      <c r="AD11" s="15">
        <v>25</v>
      </c>
      <c r="AE11" s="15">
        <v>26</v>
      </c>
      <c r="AF11" s="15">
        <v>27</v>
      </c>
      <c r="AG11" s="15">
        <v>28</v>
      </c>
      <c r="AH11" s="15">
        <v>29</v>
      </c>
      <c r="AI11" s="15">
        <v>30</v>
      </c>
      <c r="AJ11" s="14">
        <v>31</v>
      </c>
    </row>
    <row r="12" spans="2:36" x14ac:dyDescent="0.25">
      <c r="B12" s="1" t="s">
        <v>11</v>
      </c>
      <c r="C12" s="2">
        <v>300</v>
      </c>
      <c r="E12" s="13" t="s">
        <v>0</v>
      </c>
      <c r="F12" s="9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4">
        <f t="shared" si="0"/>
        <v>9.9999999999999936E-2</v>
      </c>
    </row>
    <row r="13" spans="2:36" x14ac:dyDescent="0.25">
      <c r="B13" s="3" t="s">
        <v>9</v>
      </c>
      <c r="C13" s="4">
        <v>100</v>
      </c>
      <c r="E13" s="12" t="s">
        <v>7</v>
      </c>
      <c r="F13" s="10">
        <v>300</v>
      </c>
      <c r="G13" s="10">
        <v>289.95853388921415</v>
      </c>
      <c r="H13" s="10">
        <v>279.95442372460195</v>
      </c>
      <c r="I13" s="10">
        <v>269.9503135599897</v>
      </c>
      <c r="J13" s="10">
        <v>260.05663356002907</v>
      </c>
      <c r="K13" s="10">
        <v>250.16295356006847</v>
      </c>
      <c r="L13" s="10">
        <v>240.44793736727112</v>
      </c>
      <c r="M13" s="10">
        <v>230.73292117447374</v>
      </c>
      <c r="N13" s="10">
        <v>221.2569729733062</v>
      </c>
      <c r="O13" s="10">
        <v>211.78102477213864</v>
      </c>
      <c r="P13" s="10">
        <v>202.59407622164071</v>
      </c>
      <c r="Q13" s="10">
        <v>193.40712767114266</v>
      </c>
      <c r="R13" s="10">
        <v>184.54645670551673</v>
      </c>
      <c r="S13" s="10">
        <v>175.68578573989066</v>
      </c>
      <c r="T13" s="10">
        <v>167.1743923837293</v>
      </c>
      <c r="U13" s="10">
        <v>158.66299902756782</v>
      </c>
      <c r="V13" s="10">
        <v>150.50860833892821</v>
      </c>
      <c r="W13" s="10">
        <v>142.35421765028849</v>
      </c>
      <c r="X13" s="10">
        <v>134.54895195777451</v>
      </c>
      <c r="Y13" s="10">
        <v>126.74368626526042</v>
      </c>
      <c r="Z13" s="10">
        <v>119.2644193191733</v>
      </c>
      <c r="AA13" s="10">
        <v>111.78515237308613</v>
      </c>
      <c r="AB13" s="10">
        <v>104.59452822781762</v>
      </c>
      <c r="AC13" s="10">
        <v>97.403904082549076</v>
      </c>
      <c r="AD13" s="10">
        <v>90.451974770234656</v>
      </c>
      <c r="AE13" s="10">
        <v>83.500045457920237</v>
      </c>
      <c r="AF13" s="10">
        <v>76.726455007793746</v>
      </c>
      <c r="AG13" s="10">
        <v>69.952864557667255</v>
      </c>
      <c r="AH13" s="10">
        <v>63.289483726855579</v>
      </c>
      <c r="AI13" s="10">
        <v>56.626102896043911</v>
      </c>
      <c r="AJ13" s="6">
        <v>50</v>
      </c>
    </row>
    <row r="14" spans="2:36" x14ac:dyDescent="0.25">
      <c r="B14" s="5" t="s">
        <v>8</v>
      </c>
      <c r="C14" s="6">
        <v>300</v>
      </c>
      <c r="E14" s="1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4"/>
    </row>
    <row r="15" spans="2:36" x14ac:dyDescent="0.25">
      <c r="E15" s="11" t="s">
        <v>10</v>
      </c>
      <c r="F15" s="8">
        <f>F13</f>
        <v>300</v>
      </c>
      <c r="G15" s="8">
        <f>G13+($C$10*$C$5)/($C$9*$C$8)*((H13-2*G13+F13)/($C$4^2))</f>
        <v>289.97721186230098</v>
      </c>
      <c r="H15" s="8">
        <f t="shared" ref="H15:AI15" si="1">H13+($C$10*$C$5)/($C$9*$C$8)*((I13-2*H13+G13)/($C$4^2))</f>
        <v>279.95442372460195</v>
      </c>
      <c r="I15" s="8">
        <f t="shared" si="1"/>
        <v>270.00552864231554</v>
      </c>
      <c r="J15" s="8">
        <f t="shared" si="1"/>
        <v>260.05663356002907</v>
      </c>
      <c r="K15" s="8">
        <f t="shared" si="1"/>
        <v>250.25228546365008</v>
      </c>
      <c r="L15" s="8">
        <f t="shared" si="1"/>
        <v>240.44793736727109</v>
      </c>
      <c r="M15" s="8">
        <f t="shared" si="1"/>
        <v>230.85245517028866</v>
      </c>
      <c r="N15" s="8">
        <f t="shared" si="1"/>
        <v>221.25697297330618</v>
      </c>
      <c r="O15" s="8">
        <f t="shared" si="1"/>
        <v>211.92552459747344</v>
      </c>
      <c r="P15" s="8">
        <f t="shared" si="1"/>
        <v>202.59407622164065</v>
      </c>
      <c r="Q15" s="8">
        <f t="shared" si="1"/>
        <v>193.57026646357872</v>
      </c>
      <c r="R15" s="8">
        <f t="shared" si="1"/>
        <v>184.54645670551668</v>
      </c>
      <c r="S15" s="8">
        <f t="shared" si="1"/>
        <v>175.86042454462302</v>
      </c>
      <c r="T15" s="8">
        <f t="shared" si="1"/>
        <v>167.17439238372924</v>
      </c>
      <c r="U15" s="8">
        <f t="shared" si="1"/>
        <v>158.84150036132877</v>
      </c>
      <c r="V15" s="8">
        <f t="shared" si="1"/>
        <v>150.50860833892816</v>
      </c>
      <c r="W15" s="8">
        <f t="shared" si="1"/>
        <v>142.52878014835136</v>
      </c>
      <c r="X15" s="8">
        <f t="shared" si="1"/>
        <v>134.54895195777445</v>
      </c>
      <c r="Y15" s="8">
        <f t="shared" si="1"/>
        <v>126.9066856384739</v>
      </c>
      <c r="Z15" s="8">
        <f t="shared" si="1"/>
        <v>119.26441931917327</v>
      </c>
      <c r="AA15" s="8">
        <f t="shared" si="1"/>
        <v>111.92947377349546</v>
      </c>
      <c r="AB15" s="8">
        <f t="shared" si="1"/>
        <v>104.59452822781761</v>
      </c>
      <c r="AC15" s="8">
        <f t="shared" si="1"/>
        <v>97.523251499026145</v>
      </c>
      <c r="AD15" s="8">
        <f t="shared" si="1"/>
        <v>90.451974770234656</v>
      </c>
      <c r="AE15" s="8">
        <f t="shared" si="1"/>
        <v>83.589214889014201</v>
      </c>
      <c r="AF15" s="8">
        <f t="shared" si="1"/>
        <v>76.726455007793746</v>
      </c>
      <c r="AG15" s="8">
        <f t="shared" si="1"/>
        <v>70.007969367324662</v>
      </c>
      <c r="AH15" s="8">
        <f t="shared" si="1"/>
        <v>63.289483726855579</v>
      </c>
      <c r="AI15" s="8">
        <f t="shared" si="1"/>
        <v>56.644741863427789</v>
      </c>
      <c r="AJ15" s="2">
        <f>C13</f>
        <v>100</v>
      </c>
    </row>
    <row r="16" spans="2:36" x14ac:dyDescent="0.25">
      <c r="E16" s="12" t="s">
        <v>12</v>
      </c>
      <c r="F16" s="10">
        <v>92000</v>
      </c>
      <c r="G16" s="10">
        <f>-$C$10*(G13-F13)/$C$4</f>
        <v>228945.42732591732</v>
      </c>
      <c r="H16" s="10">
        <f t="shared" ref="H16:AJ16" si="2">-$C$10*(H13-G13)/$C$4</f>
        <v>228093.71175315816</v>
      </c>
      <c r="I16" s="10">
        <f t="shared" si="2"/>
        <v>228093.71175315944</v>
      </c>
      <c r="J16" s="10">
        <f t="shared" si="2"/>
        <v>225575.90399910224</v>
      </c>
      <c r="K16" s="10">
        <f t="shared" si="2"/>
        <v>225575.9039991016</v>
      </c>
      <c r="L16" s="10">
        <f t="shared" si="2"/>
        <v>221502.36919577955</v>
      </c>
      <c r="M16" s="10">
        <f t="shared" si="2"/>
        <v>221502.36919578022</v>
      </c>
      <c r="N16" s="10">
        <f t="shared" si="2"/>
        <v>216051.6189866199</v>
      </c>
      <c r="O16" s="10">
        <f t="shared" si="2"/>
        <v>216051.61898662054</v>
      </c>
      <c r="P16" s="10">
        <f t="shared" si="2"/>
        <v>209462.4269513528</v>
      </c>
      <c r="Q16" s="10">
        <f t="shared" si="2"/>
        <v>209462.42695135542</v>
      </c>
      <c r="R16" s="10">
        <f t="shared" si="2"/>
        <v>202023.29801627115</v>
      </c>
      <c r="S16" s="10">
        <f t="shared" si="2"/>
        <v>202023.29801627441</v>
      </c>
      <c r="T16" s="10">
        <f t="shared" si="2"/>
        <v>194059.76852047906</v>
      </c>
      <c r="U16" s="10">
        <f t="shared" si="2"/>
        <v>194059.76852048168</v>
      </c>
      <c r="V16" s="10">
        <f t="shared" si="2"/>
        <v>185920.10770098306</v>
      </c>
      <c r="W16" s="10">
        <f t="shared" si="2"/>
        <v>185920.10770098565</v>
      </c>
      <c r="X16" s="10">
        <f t="shared" si="2"/>
        <v>177960.05778931882</v>
      </c>
      <c r="Y16" s="10">
        <f t="shared" si="2"/>
        <v>177960.05778932112</v>
      </c>
      <c r="Z16" s="10">
        <f t="shared" si="2"/>
        <v>170527.28637078637</v>
      </c>
      <c r="AA16" s="10">
        <f t="shared" si="2"/>
        <v>170527.28637078736</v>
      </c>
      <c r="AB16" s="10">
        <f t="shared" si="2"/>
        <v>163946.23051212213</v>
      </c>
      <c r="AC16" s="10">
        <f t="shared" si="2"/>
        <v>163946.23051212277</v>
      </c>
      <c r="AD16" s="10">
        <f t="shared" si="2"/>
        <v>158503.98832076878</v>
      </c>
      <c r="AE16" s="10">
        <f t="shared" si="2"/>
        <v>158503.98832076878</v>
      </c>
      <c r="AF16" s="10">
        <f t="shared" si="2"/>
        <v>154437.86226288398</v>
      </c>
      <c r="AG16" s="10">
        <f t="shared" si="2"/>
        <v>154437.86226288398</v>
      </c>
      <c r="AH16" s="10">
        <f t="shared" si="2"/>
        <v>151925.08294250618</v>
      </c>
      <c r="AI16" s="10">
        <f t="shared" si="2"/>
        <v>151925.08294250604</v>
      </c>
      <c r="AJ16" s="6">
        <f t="shared" si="2"/>
        <v>151075.14602980117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ГрУсл1Рода</vt:lpstr>
      <vt:lpstr>ГрУсл2Рода</vt:lpstr>
      <vt:lpstr>ГрУсл3Рода</vt:lpstr>
      <vt:lpstr>ГрУсл4Рода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</dc:creator>
  <cp:lastModifiedBy>Артём</cp:lastModifiedBy>
  <dcterms:created xsi:type="dcterms:W3CDTF">2021-03-21T19:26:15Z</dcterms:created>
  <dcterms:modified xsi:type="dcterms:W3CDTF">2021-04-05T09:41:59Z</dcterms:modified>
</cp:coreProperties>
</file>