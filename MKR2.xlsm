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Артём\Downloads\"/>
    </mc:Choice>
  </mc:AlternateContent>
  <bookViews>
    <workbookView xWindow="360" yWindow="60" windowWidth="7635" windowHeight="10800" activeTab="2"/>
  </bookViews>
  <sheets>
    <sheet name="ГР_1 рода" sheetId="2" r:id="rId1"/>
    <sheet name="ГР_2 рода" sheetId="1" r:id="rId2"/>
    <sheet name="ГР_3 рода" sheetId="3" r:id="rId3"/>
  </sheets>
  <calcPr calcId="162913"/>
</workbook>
</file>

<file path=xl/calcChain.xml><?xml version="1.0" encoding="utf-8"?>
<calcChain xmlns="http://schemas.openxmlformats.org/spreadsheetml/2006/main">
  <c r="AJ5" i="3" l="1"/>
  <c r="AJ7" i="3" s="1"/>
  <c r="F8" i="1"/>
  <c r="AJ5" i="1"/>
  <c r="AJ5" i="2"/>
  <c r="AJ7" i="2" s="1"/>
  <c r="F5" i="2"/>
  <c r="F11" i="3"/>
  <c r="F11" i="2"/>
  <c r="AJ7" i="1" l="1"/>
  <c r="F11" i="1"/>
  <c r="F8" i="3" l="1"/>
  <c r="C4" i="3" l="1"/>
  <c r="AI4" i="2"/>
  <c r="AG4" i="2"/>
  <c r="AA4" i="2"/>
  <c r="Y4" i="2"/>
  <c r="S4" i="2"/>
  <c r="Q4" i="2"/>
  <c r="K4" i="2"/>
  <c r="I4" i="2"/>
  <c r="C4" i="2"/>
  <c r="C5" i="2" s="1"/>
  <c r="AF12" i="2" l="1"/>
  <c r="AB12" i="2"/>
  <c r="X12" i="2"/>
  <c r="T12" i="2"/>
  <c r="P12" i="2"/>
  <c r="L12" i="2"/>
  <c r="H12" i="2"/>
  <c r="AI12" i="2"/>
  <c r="AE12" i="2"/>
  <c r="AA12" i="2"/>
  <c r="W12" i="2"/>
  <c r="S12" i="2"/>
  <c r="O12" i="2"/>
  <c r="K12" i="2"/>
  <c r="G12" i="2"/>
  <c r="AH12" i="2"/>
  <c r="AD12" i="2"/>
  <c r="Z12" i="2"/>
  <c r="V12" i="2"/>
  <c r="R12" i="2"/>
  <c r="N12" i="2"/>
  <c r="J12" i="2"/>
  <c r="F12" i="2"/>
  <c r="AG12" i="2"/>
  <c r="AC12" i="2"/>
  <c r="Y12" i="2"/>
  <c r="U12" i="2"/>
  <c r="Q12" i="2"/>
  <c r="M12" i="2"/>
  <c r="I12" i="2"/>
  <c r="U4" i="2"/>
  <c r="C15" i="2"/>
  <c r="G10" i="2" s="1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C17" i="2"/>
  <c r="C16" i="2"/>
  <c r="M4" i="2"/>
  <c r="AC4" i="2"/>
  <c r="G4" i="2"/>
  <c r="O4" i="2"/>
  <c r="W4" i="2"/>
  <c r="AE4" i="2"/>
  <c r="F5" i="3"/>
  <c r="G8" i="3" s="1"/>
  <c r="C15" i="3"/>
  <c r="C17" i="3"/>
  <c r="C16" i="3"/>
  <c r="Z8" i="3"/>
  <c r="AD8" i="3"/>
  <c r="AH8" i="3"/>
  <c r="J8" i="3"/>
  <c r="N8" i="3"/>
  <c r="R8" i="3"/>
  <c r="V8" i="3"/>
  <c r="AE8" i="3"/>
  <c r="AI8" i="3"/>
  <c r="K8" i="3"/>
  <c r="S8" i="3"/>
  <c r="W8" i="3"/>
  <c r="AB8" i="3"/>
  <c r="H8" i="3"/>
  <c r="P8" i="3"/>
  <c r="AA8" i="3"/>
  <c r="O8" i="3"/>
  <c r="X8" i="3"/>
  <c r="AF8" i="3"/>
  <c r="L8" i="3"/>
  <c r="T8" i="3"/>
  <c r="Y8" i="3"/>
  <c r="AC8" i="3"/>
  <c r="AG8" i="3"/>
  <c r="I8" i="3"/>
  <c r="M8" i="3"/>
  <c r="Q8" i="3"/>
  <c r="U8" i="3"/>
  <c r="I4" i="3"/>
  <c r="Q4" i="3"/>
  <c r="J4" i="3"/>
  <c r="R4" i="3"/>
  <c r="Z4" i="3"/>
  <c r="AH4" i="3"/>
  <c r="N4" i="3"/>
  <c r="V4" i="3"/>
  <c r="AD4" i="3"/>
  <c r="G4" i="3"/>
  <c r="K4" i="3"/>
  <c r="O4" i="3"/>
  <c r="S4" i="3"/>
  <c r="W4" i="3"/>
  <c r="AA4" i="3"/>
  <c r="AE4" i="3"/>
  <c r="AI4" i="3"/>
  <c r="H4" i="3"/>
  <c r="L4" i="3"/>
  <c r="P4" i="3"/>
  <c r="T4" i="3"/>
  <c r="X4" i="3"/>
  <c r="AB4" i="3"/>
  <c r="AF4" i="3"/>
  <c r="AJ4" i="3"/>
  <c r="M4" i="3"/>
  <c r="U4" i="3"/>
  <c r="Y4" i="3"/>
  <c r="AC4" i="3"/>
  <c r="AG4" i="3"/>
  <c r="C5" i="3"/>
  <c r="J4" i="2"/>
  <c r="N4" i="2"/>
  <c r="R4" i="2"/>
  <c r="V4" i="2"/>
  <c r="Z4" i="2"/>
  <c r="AD4" i="2"/>
  <c r="AH4" i="2"/>
  <c r="H4" i="2"/>
  <c r="L4" i="2"/>
  <c r="P4" i="2"/>
  <c r="T4" i="2"/>
  <c r="X4" i="2"/>
  <c r="AB4" i="2"/>
  <c r="AF4" i="2"/>
  <c r="AJ4" i="2"/>
  <c r="AI12" i="3" l="1"/>
  <c r="AH12" i="3"/>
  <c r="AD12" i="3"/>
  <c r="Z12" i="3"/>
  <c r="V12" i="3"/>
  <c r="R12" i="3"/>
  <c r="N12" i="3"/>
  <c r="J12" i="3"/>
  <c r="F12" i="3"/>
  <c r="AG12" i="3"/>
  <c r="AC12" i="3"/>
  <c r="Y12" i="3"/>
  <c r="U12" i="3"/>
  <c r="Q12" i="3"/>
  <c r="M12" i="3"/>
  <c r="I12" i="3"/>
  <c r="AF12" i="3"/>
  <c r="AB12" i="3"/>
  <c r="X12" i="3"/>
  <c r="T12" i="3"/>
  <c r="P12" i="3"/>
  <c r="L12" i="3"/>
  <c r="H12" i="3"/>
  <c r="AE12" i="3"/>
  <c r="AA12" i="3"/>
  <c r="W12" i="3"/>
  <c r="S12" i="3"/>
  <c r="O12" i="3"/>
  <c r="K12" i="3"/>
  <c r="G12" i="3"/>
  <c r="G11" i="3" s="1"/>
  <c r="G10" i="3"/>
  <c r="H10" i="3" s="1"/>
  <c r="I10" i="3" s="1"/>
  <c r="J10" i="3" s="1"/>
  <c r="K10" i="3" s="1"/>
  <c r="L10" i="3" s="1"/>
  <c r="M10" i="3" s="1"/>
  <c r="N10" i="3" s="1"/>
  <c r="O10" i="3" s="1"/>
  <c r="P10" i="3" s="1"/>
  <c r="Q10" i="3" s="1"/>
  <c r="R10" i="3" s="1"/>
  <c r="S10" i="3" s="1"/>
  <c r="T10" i="3" s="1"/>
  <c r="U10" i="3" s="1"/>
  <c r="V10" i="3" s="1"/>
  <c r="W10" i="3" s="1"/>
  <c r="X10" i="3" s="1"/>
  <c r="Y10" i="3" s="1"/>
  <c r="Z10" i="3" s="1"/>
  <c r="AA10" i="3" s="1"/>
  <c r="AB10" i="3" s="1"/>
  <c r="AC10" i="3" s="1"/>
  <c r="AD10" i="3" s="1"/>
  <c r="AE10" i="3" s="1"/>
  <c r="AF10" i="3" s="1"/>
  <c r="AG10" i="3" s="1"/>
  <c r="AH10" i="3" s="1"/>
  <c r="AI10" i="3" s="1"/>
  <c r="G11" i="2"/>
  <c r="H11" i="2" s="1"/>
  <c r="I11" i="2" s="1"/>
  <c r="J11" i="2" s="1"/>
  <c r="K11" i="2" s="1"/>
  <c r="L11" i="2" s="1"/>
  <c r="M11" i="2" s="1"/>
  <c r="N11" i="2" s="1"/>
  <c r="O11" i="2" s="1"/>
  <c r="P11" i="2" s="1"/>
  <c r="Q11" i="2" s="1"/>
  <c r="R11" i="2" s="1"/>
  <c r="S11" i="2" s="1"/>
  <c r="T11" i="2" s="1"/>
  <c r="U11" i="2" s="1"/>
  <c r="V11" i="2" s="1"/>
  <c r="W11" i="2" s="1"/>
  <c r="X11" i="2" s="1"/>
  <c r="Y11" i="2" s="1"/>
  <c r="Z11" i="2" s="1"/>
  <c r="AA11" i="2" s="1"/>
  <c r="AB11" i="2" s="1"/>
  <c r="AC11" i="2" s="1"/>
  <c r="AD11" i="2" s="1"/>
  <c r="AE11" i="2" s="1"/>
  <c r="AF11" i="2" s="1"/>
  <c r="AG11" i="2" s="1"/>
  <c r="AH11" i="2" s="1"/>
  <c r="AI11" i="2" s="1"/>
  <c r="AI7" i="2" s="1"/>
  <c r="AH7" i="2" s="1"/>
  <c r="AG7" i="2" s="1"/>
  <c r="AF7" i="2" s="1"/>
  <c r="AE7" i="2" s="1"/>
  <c r="AD7" i="2" s="1"/>
  <c r="AC7" i="2" s="1"/>
  <c r="AB7" i="2" s="1"/>
  <c r="AA7" i="2" s="1"/>
  <c r="Z7" i="2" s="1"/>
  <c r="Y7" i="2" s="1"/>
  <c r="X7" i="2" s="1"/>
  <c r="W7" i="2" s="1"/>
  <c r="V7" i="2" s="1"/>
  <c r="U7" i="2" s="1"/>
  <c r="T7" i="2" s="1"/>
  <c r="S7" i="2" s="1"/>
  <c r="R7" i="2" s="1"/>
  <c r="Q7" i="2" s="1"/>
  <c r="P7" i="2" s="1"/>
  <c r="O7" i="2" s="1"/>
  <c r="N7" i="2" s="1"/>
  <c r="M7" i="2" s="1"/>
  <c r="L7" i="2" s="1"/>
  <c r="K7" i="2" s="1"/>
  <c r="J7" i="2" s="1"/>
  <c r="I7" i="2" s="1"/>
  <c r="H7" i="2" s="1"/>
  <c r="G7" i="2" s="1"/>
  <c r="C4" i="1"/>
  <c r="F5" i="1" l="1"/>
  <c r="G8" i="1" s="1"/>
  <c r="H8" i="1"/>
  <c r="AH8" i="1"/>
  <c r="AD8" i="1"/>
  <c r="Z8" i="1"/>
  <c r="V8" i="1"/>
  <c r="R8" i="1"/>
  <c r="N8" i="1"/>
  <c r="J8" i="1"/>
  <c r="AC8" i="1"/>
  <c r="Y8" i="1"/>
  <c r="U8" i="1"/>
  <c r="Q8" i="1"/>
  <c r="I8" i="1"/>
  <c r="C17" i="1"/>
  <c r="AF8" i="1"/>
  <c r="X8" i="1"/>
  <c r="P8" i="1"/>
  <c r="C15" i="1"/>
  <c r="AI8" i="1"/>
  <c r="AA8" i="1"/>
  <c r="W8" i="1"/>
  <c r="O8" i="1"/>
  <c r="C5" i="1"/>
  <c r="C16" i="1" s="1"/>
  <c r="AG8" i="1"/>
  <c r="M8" i="1"/>
  <c r="AJ8" i="1"/>
  <c r="AB8" i="1"/>
  <c r="T8" i="1"/>
  <c r="L8" i="1"/>
  <c r="AE8" i="1"/>
  <c r="S8" i="1"/>
  <c r="K8" i="1"/>
  <c r="I4" i="1"/>
  <c r="T4" i="1"/>
  <c r="P4" i="1"/>
  <c r="L4" i="1"/>
  <c r="Y4" i="1"/>
  <c r="AI4" i="1"/>
  <c r="AE4" i="1"/>
  <c r="G4" i="1"/>
  <c r="H4" i="1"/>
  <c r="S4" i="1"/>
  <c r="O4" i="1"/>
  <c r="AB4" i="1"/>
  <c r="X4" i="1"/>
  <c r="AH4" i="1"/>
  <c r="AD4" i="1"/>
  <c r="H11" i="3"/>
  <c r="I11" i="3" s="1"/>
  <c r="J11" i="3" s="1"/>
  <c r="K11" i="3" s="1"/>
  <c r="L11" i="3" s="1"/>
  <c r="M11" i="3" s="1"/>
  <c r="N11" i="3" s="1"/>
  <c r="O11" i="3" s="1"/>
  <c r="P11" i="3" s="1"/>
  <c r="Q11" i="3" s="1"/>
  <c r="R11" i="3" s="1"/>
  <c r="S11" i="3" s="1"/>
  <c r="T11" i="3" s="1"/>
  <c r="U11" i="3" s="1"/>
  <c r="V11" i="3" s="1"/>
  <c r="W11" i="3" s="1"/>
  <c r="X11" i="3" s="1"/>
  <c r="Y11" i="3" s="1"/>
  <c r="Z11" i="3" s="1"/>
  <c r="AA11" i="3" s="1"/>
  <c r="AB11" i="3" s="1"/>
  <c r="AC11" i="3" s="1"/>
  <c r="AD11" i="3" s="1"/>
  <c r="AE11" i="3" s="1"/>
  <c r="AF11" i="3" s="1"/>
  <c r="AG11" i="3" s="1"/>
  <c r="AH11" i="3" s="1"/>
  <c r="K4" i="1"/>
  <c r="V4" i="1"/>
  <c r="R4" i="1"/>
  <c r="N4" i="1"/>
  <c r="AA4" i="1"/>
  <c r="W4" i="1"/>
  <c r="AG4" i="1"/>
  <c r="AC4" i="1"/>
  <c r="J4" i="1"/>
  <c r="U4" i="1"/>
  <c r="Q4" i="1"/>
  <c r="M4" i="1"/>
  <c r="Z4" i="1"/>
  <c r="AJ4" i="1"/>
  <c r="AF4" i="1"/>
  <c r="AI11" i="3" l="1"/>
  <c r="AI7" i="3" s="1"/>
  <c r="AH7" i="3" s="1"/>
  <c r="AG7" i="3" s="1"/>
  <c r="AF7" i="3" s="1"/>
  <c r="AE7" i="3" s="1"/>
  <c r="AD7" i="3" s="1"/>
  <c r="AC7" i="3" s="1"/>
  <c r="AB7" i="3" s="1"/>
  <c r="AA7" i="3" s="1"/>
  <c r="Z7" i="3" s="1"/>
  <c r="Y7" i="3" s="1"/>
  <c r="X7" i="3" s="1"/>
  <c r="W7" i="3" s="1"/>
  <c r="V7" i="3" s="1"/>
  <c r="U7" i="3" s="1"/>
  <c r="T7" i="3" s="1"/>
  <c r="S7" i="3" s="1"/>
  <c r="R7" i="3" s="1"/>
  <c r="Q7" i="3" s="1"/>
  <c r="P7" i="3" s="1"/>
  <c r="O7" i="3" s="1"/>
  <c r="N7" i="3" s="1"/>
  <c r="M7" i="3" s="1"/>
  <c r="L7" i="3" s="1"/>
  <c r="K7" i="3" s="1"/>
  <c r="J7" i="3" s="1"/>
  <c r="I7" i="3" s="1"/>
  <c r="H7" i="3" s="1"/>
  <c r="G7" i="3" s="1"/>
  <c r="G10" i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I12" i="1"/>
  <c r="M12" i="1"/>
  <c r="Q12" i="1"/>
  <c r="U12" i="1"/>
  <c r="Y12" i="1"/>
  <c r="AC12" i="1"/>
  <c r="AG12" i="1"/>
  <c r="N12" i="1"/>
  <c r="V12" i="1"/>
  <c r="Z12" i="1"/>
  <c r="AH12" i="1"/>
  <c r="G12" i="1"/>
  <c r="G11" i="1" s="1"/>
  <c r="K12" i="1"/>
  <c r="O12" i="1"/>
  <c r="S12" i="1"/>
  <c r="W12" i="1"/>
  <c r="AA12" i="1"/>
  <c r="AE12" i="1"/>
  <c r="AI12" i="1"/>
  <c r="F12" i="1"/>
  <c r="L12" i="1"/>
  <c r="T12" i="1"/>
  <c r="AB12" i="1"/>
  <c r="J12" i="1"/>
  <c r="R12" i="1"/>
  <c r="AD12" i="1"/>
  <c r="H12" i="1"/>
  <c r="P12" i="1"/>
  <c r="X12" i="1"/>
  <c r="AF12" i="1"/>
  <c r="H11" i="1" l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I7" i="1" s="1"/>
  <c r="AH7" i="1" s="1"/>
  <c r="AG7" i="1" s="1"/>
  <c r="AF7" i="1" s="1"/>
  <c r="AE7" i="1" s="1"/>
  <c r="AD7" i="1" s="1"/>
  <c r="AC7" i="1" s="1"/>
  <c r="AB7" i="1" s="1"/>
  <c r="AA7" i="1" s="1"/>
  <c r="Z7" i="1" s="1"/>
  <c r="Y7" i="1" s="1"/>
  <c r="X7" i="1" s="1"/>
  <c r="W7" i="1" s="1"/>
  <c r="V7" i="1" s="1"/>
  <c r="U7" i="1" s="1"/>
  <c r="T7" i="1" s="1"/>
  <c r="S7" i="1" s="1"/>
  <c r="R7" i="1" s="1"/>
  <c r="Q7" i="1" s="1"/>
  <c r="P7" i="1" s="1"/>
  <c r="O7" i="1" s="1"/>
  <c r="N7" i="1" s="1"/>
  <c r="M7" i="1" s="1"/>
  <c r="L7" i="1" s="1"/>
  <c r="K7" i="1" s="1"/>
  <c r="J7" i="1" s="1"/>
  <c r="I7" i="1" s="1"/>
  <c r="H7" i="1" s="1"/>
  <c r="G7" i="1" s="1"/>
</calcChain>
</file>

<file path=xl/sharedStrings.xml><?xml version="1.0" encoding="utf-8"?>
<sst xmlns="http://schemas.openxmlformats.org/spreadsheetml/2006/main" count="59" uniqueCount="21">
  <si>
    <t>L</t>
  </si>
  <si>
    <t>dx</t>
  </si>
  <si>
    <t>dt</t>
  </si>
  <si>
    <t>t</t>
  </si>
  <si>
    <t>Cp</t>
  </si>
  <si>
    <t>λ</t>
  </si>
  <si>
    <t>ρ</t>
  </si>
  <si>
    <t>T</t>
  </si>
  <si>
    <t>T_iter</t>
  </si>
  <si>
    <t>q</t>
  </si>
  <si>
    <t>q_start</t>
  </si>
  <si>
    <t>T_end</t>
  </si>
  <si>
    <t>α</t>
  </si>
  <si>
    <t>T_gas</t>
  </si>
  <si>
    <t>T_start</t>
  </si>
  <si>
    <t>A</t>
  </si>
  <si>
    <t>B</t>
  </si>
  <si>
    <t>C</t>
  </si>
  <si>
    <t>alfa</t>
  </si>
  <si>
    <t>betta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</si>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</sst>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1" fillId="0" borderId="1" xfId="0" applyFont="1" applyBorder="1"/>
    <xf numFmtId="165" fontId="0" fillId="0" borderId="1" xfId="0" applyNumberFormat="1" applyBorder="1"/>
    <xf numFmtId="164" fontId="0" fillId="0" borderId="1" xfId="0" applyNumberFormat="1" applyBorder="1"/>
    <xf numFmtId="0" fontId="2" fillId="0" borderId="0" xfId="0" applyFont="1" applyBorder="1"/>
    <xf numFmtId="0" fontId="0" fillId="0" borderId="0" xfId="0" applyBorder="1"/>
    <xf numFmtId="0" fontId="1" fillId="0" borderId="1" xfId="0" applyFont="1" applyFill="1" applyBorder="1"/>
    <xf numFmtId="0" fontId="0" fillId="0" borderId="1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65" fontId="0" fillId="0" borderId="11" xfId="0" applyNumberFormat="1" applyBorder="1"/>
    <xf numFmtId="0" fontId="0" fillId="0" borderId="12" xfId="0" applyBorder="1"/>
    <xf numFmtId="0" fontId="0" fillId="0" borderId="13" xfId="0" applyBorder="1"/>
    <xf numFmtId="0" fontId="0" fillId="0" borderId="14" xfId="0" applyBorder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EC82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09974421239619"/>
          <c:y val="8.4446767683451343E-2"/>
          <c:w val="0.76228566249362739"/>
          <c:h val="0.81715860517435313"/>
        </c:manualLayout>
      </c:layout>
      <c:scatterChart>
        <c:scatterStyle val="smoothMarker"/>
        <c:varyColors val="0"/>
        <c:ser>
          <c:idx val="0"/>
          <c:order val="0"/>
          <c:spPr>
            <a:ln w="47625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'ГР_1 рода'!$F$4:$AJ$4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7.0000000000000007E-2</c:v>
                </c:pt>
                <c:pt idx="22">
                  <c:v>7.3333333333333334E-2</c:v>
                </c:pt>
                <c:pt idx="23">
                  <c:v>7.6666666666666675E-2</c:v>
                </c:pt>
                <c:pt idx="24">
                  <c:v>0.08</c:v>
                </c:pt>
                <c:pt idx="25">
                  <c:v>8.3333333333333343E-2</c:v>
                </c:pt>
                <c:pt idx="26">
                  <c:v>8.666666666666667E-2</c:v>
                </c:pt>
                <c:pt idx="27">
                  <c:v>9.0000000000000011E-2</c:v>
                </c:pt>
                <c:pt idx="28">
                  <c:v>9.3333333333333338E-2</c:v>
                </c:pt>
                <c:pt idx="29">
                  <c:v>9.6666666666666679E-2</c:v>
                </c:pt>
                <c:pt idx="30">
                  <c:v>0.1</c:v>
                </c:pt>
              </c:numCache>
            </c:numRef>
          </c:xVal>
          <c:yVal>
            <c:numRef>
              <c:f>'ГР_1 рода'!$F$5:$AJ$5</c:f>
              <c:numCache>
                <c:formatCode>General</c:formatCode>
                <c:ptCount val="31"/>
                <c:pt idx="0">
                  <c:v>200</c:v>
                </c:pt>
                <c:pt idx="1">
                  <c:v>183.47970818082703</c:v>
                </c:pt>
                <c:pt idx="2">
                  <c:v>167.14635360856536</c:v>
                </c:pt>
                <c:pt idx="3">
                  <c:v>151.18117465131121</c:v>
                </c:pt>
                <c:pt idx="4">
                  <c:v>135.75433953830424</c:v>
                </c:pt>
                <c:pt idx="5">
                  <c:v>121.02020330412687</c:v>
                </c:pt>
                <c:pt idx="6">
                  <c:v>107.11344223391121</c:v>
                </c:pt>
                <c:pt idx="7">
                  <c:v>94.146244775573066</c:v>
                </c:pt>
                <c:pt idx="8">
                  <c:v>82.206655526724489</c:v>
                </c:pt>
                <c:pt idx="9">
                  <c:v>71.358082499295065</c:v>
                </c:pt>
                <c:pt idx="10">
                  <c:v>61.639895446380855</c:v>
                </c:pt>
                <c:pt idx="11">
                  <c:v>53.068971812702053</c:v>
                </c:pt>
                <c:pt idx="12">
                  <c:v>45.641992506115145</c:v>
                </c:pt>
                <c:pt idx="13">
                  <c:v>39.338255810764799</c:v>
                </c:pt>
                <c:pt idx="14">
                  <c:v>34.122765746439086</c:v>
                </c:pt>
                <c:pt idx="15">
                  <c:v>29.94936019667611</c:v>
                </c:pt>
                <c:pt idx="16">
                  <c:v>26.763671440894356</c:v>
                </c:pt>
                <c:pt idx="17">
                  <c:v>24.505753141768153</c:v>
                </c:pt>
                <c:pt idx="18">
                  <c:v>23.112258271437668</c:v>
                </c:pt>
                <c:pt idx="19">
                  <c:v>22.518106505735201</c:v>
                </c:pt>
                <c:pt idx="20">
                  <c:v>22.657632091623562</c:v>
                </c:pt>
                <c:pt idx="21">
                  <c:v>23.46524958486911</c:v>
                </c:pt>
                <c:pt idx="22">
                  <c:v>24.875711647429664</c:v>
                </c:pt>
                <c:pt idx="23">
                  <c:v>26.824057976070492</c:v>
                </c:pt>
                <c:pt idx="24">
                  <c:v>29.245366380235865</c:v>
                </c:pt>
                <c:pt idx="25">
                  <c:v>32.07441627042347</c:v>
                </c:pt>
                <c:pt idx="26">
                  <c:v>35.245362725461639</c:v>
                </c:pt>
                <c:pt idx="27">
                  <c:v>38.691498182662315</c:v>
                </c:pt>
                <c:pt idx="28">
                  <c:v>42.34515162580503</c:v>
                </c:pt>
                <c:pt idx="29">
                  <c:v>46.13774530865598</c:v>
                </c:pt>
                <c:pt idx="30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3F-411A-AF9F-652AAF90F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44480"/>
        <c:axId val="57846016"/>
      </c:scatterChart>
      <c:valAx>
        <c:axId val="5784448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Arial Black" panose="020B0A04020102020204" pitchFamily="34" charset="0"/>
              </a:defRPr>
            </a:pPr>
            <a:endParaRPr lang="ru-RU"/>
          </a:p>
        </c:txPr>
        <c:crossAx val="57846016"/>
        <c:crosses val="autoZero"/>
        <c:crossBetween val="midCat"/>
      </c:valAx>
      <c:valAx>
        <c:axId val="57846016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 b="0" i="1">
                <a:latin typeface="Arial Black" panose="020B0A04020102020204" pitchFamily="34" charset="0"/>
                <a:cs typeface="Aharoni" panose="02010803020104030203" pitchFamily="2" charset="-79"/>
              </a:defRPr>
            </a:pPr>
            <a:endParaRPr lang="ru-RU"/>
          </a:p>
        </c:txPr>
        <c:crossAx val="57844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12231189964295"/>
          <c:y val="0.11163806076883036"/>
          <c:w val="0.78045374816083213"/>
          <c:h val="0.78996731003485587"/>
        </c:manualLayout>
      </c:layout>
      <c:scatterChart>
        <c:scatterStyle val="smoothMarker"/>
        <c:varyColors val="0"/>
        <c:ser>
          <c:idx val="0"/>
          <c:order val="0"/>
          <c:spPr>
            <a:ln w="47625" cap="sq" cmpd="sng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'ГР_2 рода'!$F$4:$AJ$4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7.0000000000000007E-2</c:v>
                </c:pt>
                <c:pt idx="22">
                  <c:v>7.3333333333333334E-2</c:v>
                </c:pt>
                <c:pt idx="23">
                  <c:v>7.6666666666666675E-2</c:v>
                </c:pt>
                <c:pt idx="24">
                  <c:v>0.08</c:v>
                </c:pt>
                <c:pt idx="25">
                  <c:v>8.3333333333333343E-2</c:v>
                </c:pt>
                <c:pt idx="26">
                  <c:v>8.666666666666667E-2</c:v>
                </c:pt>
                <c:pt idx="27">
                  <c:v>9.0000000000000011E-2</c:v>
                </c:pt>
                <c:pt idx="28">
                  <c:v>9.3333333333333338E-2</c:v>
                </c:pt>
                <c:pt idx="29">
                  <c:v>9.6666666666666679E-2</c:v>
                </c:pt>
                <c:pt idx="30">
                  <c:v>0.1</c:v>
                </c:pt>
              </c:numCache>
            </c:numRef>
          </c:xVal>
          <c:yVal>
            <c:numRef>
              <c:f>'ГР_2 рода'!$F$5:$AJ$5</c:f>
              <c:numCache>
                <c:formatCode>General</c:formatCode>
                <c:ptCount val="31"/>
                <c:pt idx="0">
                  <c:v>333.47792187621445</c:v>
                </c:pt>
                <c:pt idx="1">
                  <c:v>326.81125520954777</c:v>
                </c:pt>
                <c:pt idx="2">
                  <c:v>303.81536342631</c:v>
                </c:pt>
                <c:pt idx="3">
                  <c:v>281.20156630625877</c:v>
                </c:pt>
                <c:pt idx="4">
                  <c:v>259.15200604068332</c:v>
                </c:pt>
                <c:pt idx="5">
                  <c:v>237.83847688678256</c:v>
                </c:pt>
                <c:pt idx="6">
                  <c:v>217.41951958627675</c:v>
                </c:pt>
                <c:pt idx="7">
                  <c:v>198.03794338114508</c:v>
                </c:pt>
                <c:pt idx="8">
                  <c:v>179.81883776000797</c:v>
                </c:pt>
                <c:pt idx="9">
                  <c:v>162.86811104375525</c:v>
                </c:pt>
                <c:pt idx="10">
                  <c:v>147.27156716102479</c:v>
                </c:pt>
                <c:pt idx="11">
                  <c:v>133.09450717244547</c:v>
                </c:pt>
                <c:pt idx="12">
                  <c:v>120.38181982408577</c:v>
                </c:pt>
                <c:pt idx="13">
                  <c:v>109.1585069225121</c:v>
                </c:pt>
                <c:pt idx="14">
                  <c:v>99.43057554512653</c:v>
                </c:pt>
                <c:pt idx="15">
                  <c:v>91.186220537337078</c:v>
                </c:pt>
                <c:pt idx="16">
                  <c:v>84.397217483873348</c:v>
                </c:pt>
                <c:pt idx="17">
                  <c:v>79.020448053992823</c:v>
                </c:pt>
                <c:pt idx="18">
                  <c:v>74.999485643161591</c:v>
                </c:pt>
                <c:pt idx="19">
                  <c:v>72.266178639696051</c:v>
                </c:pt>
                <c:pt idx="20">
                  <c:v>70.742180346594353</c:v>
                </c:pt>
                <c:pt idx="21">
                  <c:v>70.340387447187425</c:v>
                </c:pt>
                <c:pt idx="22">
                  <c:v>70.966261831322427</c:v>
                </c:pt>
                <c:pt idx="23">
                  <c:v>72.519022652679396</c:v>
                </c:pt>
                <c:pt idx="24">
                  <c:v>74.892705936659681</c:v>
                </c:pt>
                <c:pt idx="25">
                  <c:v>77.97709742793937</c:v>
                </c:pt>
                <c:pt idx="26">
                  <c:v>81.65855045486353</c:v>
                </c:pt>
                <c:pt idx="27">
                  <c:v>85.820704450428735</c:v>
                </c:pt>
                <c:pt idx="28">
                  <c:v>90.345121682664981</c:v>
                </c:pt>
                <c:pt idx="29">
                  <c:v>95.111860148273337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DB-42F0-B2A8-5B28BE48F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38208"/>
        <c:axId val="54260480"/>
      </c:scatterChart>
      <c:valAx>
        <c:axId val="54238208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Arial Black" panose="020B0A04020102020204" pitchFamily="34" charset="0"/>
              </a:defRPr>
            </a:pPr>
            <a:endParaRPr lang="ru-RU"/>
          </a:p>
        </c:txPr>
        <c:crossAx val="54260480"/>
        <c:crosses val="autoZero"/>
        <c:crossBetween val="midCat"/>
      </c:valAx>
      <c:valAx>
        <c:axId val="54260480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 b="0" i="1">
                <a:latin typeface="Arial Black" panose="020B0A04020102020204" pitchFamily="34" charset="0"/>
                <a:cs typeface="Aharoni" panose="02010803020104030203" pitchFamily="2" charset="-79"/>
              </a:defRPr>
            </a:pPr>
            <a:endParaRPr lang="ru-RU"/>
          </a:p>
        </c:txPr>
        <c:crossAx val="54238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10010402053211"/>
          <c:y val="8.2399427344309231E-2"/>
          <c:w val="0.75587226190693668"/>
          <c:h val="0.81920601288475303"/>
        </c:manualLayout>
      </c:layout>
      <c:scatterChart>
        <c:scatterStyle val="smoothMarker"/>
        <c:varyColors val="0"/>
        <c:ser>
          <c:idx val="0"/>
          <c:order val="0"/>
          <c:spPr>
            <a:ln w="444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'ГР_3 рода'!$F$4:$AJ$4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7.0000000000000007E-2</c:v>
                </c:pt>
                <c:pt idx="22">
                  <c:v>7.3333333333333334E-2</c:v>
                </c:pt>
                <c:pt idx="23">
                  <c:v>7.6666666666666675E-2</c:v>
                </c:pt>
                <c:pt idx="24">
                  <c:v>0.08</c:v>
                </c:pt>
                <c:pt idx="25">
                  <c:v>8.3333333333333343E-2</c:v>
                </c:pt>
                <c:pt idx="26">
                  <c:v>8.666666666666667E-2</c:v>
                </c:pt>
                <c:pt idx="27">
                  <c:v>9.0000000000000011E-2</c:v>
                </c:pt>
                <c:pt idx="28">
                  <c:v>9.3333333333333338E-2</c:v>
                </c:pt>
                <c:pt idx="29">
                  <c:v>9.6666666666666679E-2</c:v>
                </c:pt>
                <c:pt idx="30">
                  <c:v>0.1</c:v>
                </c:pt>
              </c:numCache>
            </c:numRef>
          </c:xVal>
          <c:yVal>
            <c:numRef>
              <c:f>'ГР_3 рода'!$F$5:$AJ$5</c:f>
              <c:numCache>
                <c:formatCode>General</c:formatCode>
                <c:ptCount val="31"/>
                <c:pt idx="0">
                  <c:v>73364.123723767872</c:v>
                </c:pt>
                <c:pt idx="1">
                  <c:v>73363.530245507005</c:v>
                </c:pt>
                <c:pt idx="2">
                  <c:v>66799.408216814292</c:v>
                </c:pt>
                <c:pt idx="3">
                  <c:v>60377.591675358031</c:v>
                </c:pt>
                <c:pt idx="4">
                  <c:v>54163.391601233292</c:v>
                </c:pt>
                <c:pt idx="5">
                  <c:v>48215.47116660449</c:v>
                </c:pt>
                <c:pt idx="6">
                  <c:v>42584.203210567721</c:v>
                </c:pt>
                <c:pt idx="7">
                  <c:v>37310.46158422275</c:v>
                </c:pt>
                <c:pt idx="8">
                  <c:v>32424.889687222563</c:v>
                </c:pt>
                <c:pt idx="9">
                  <c:v>27947.655827147901</c:v>
                </c:pt>
                <c:pt idx="10">
                  <c:v>23888.672760600013</c:v>
                </c:pt>
                <c:pt idx="11">
                  <c:v>20248.230636983179</c:v>
                </c:pt>
                <c:pt idx="12">
                  <c:v>17017.970661771717</c:v>
                </c:pt>
                <c:pt idx="13">
                  <c:v>14182.112428822315</c:v>
                </c:pt>
                <c:pt idx="14">
                  <c:v>11718.841482122045</c:v>
                </c:pt>
                <c:pt idx="15">
                  <c:v>9601.7648790543644</c:v>
                </c:pt>
                <c:pt idx="16">
                  <c:v>7801.3502801370632</c:v>
                </c:pt>
                <c:pt idx="17">
                  <c:v>6286.2768413597587</c:v>
                </c:pt>
                <c:pt idx="18">
                  <c:v>5024.6421375117243</c:v>
                </c:pt>
                <c:pt idx="19">
                  <c:v>3984.98667190781</c:v>
                </c:pt>
                <c:pt idx="20">
                  <c:v>3137.1145680842023</c:v>
                </c:pt>
                <c:pt idx="21">
                  <c:v>2452.7044390351352</c:v>
                </c:pt>
                <c:pt idx="22">
                  <c:v>1905.7172288112624</c:v>
                </c:pt>
                <c:pt idx="23">
                  <c:v>1472.6174779541818</c:v>
                </c:pt>
                <c:pt idx="24">
                  <c:v>1132.4308311278394</c:v>
                </c:pt>
                <c:pt idx="25">
                  <c:v>866.66386899635052</c:v>
                </c:pt>
                <c:pt idx="26">
                  <c:v>659.11294453005462</c:v>
                </c:pt>
                <c:pt idx="27">
                  <c:v>495.58723521389442</c:v>
                </c:pt>
                <c:pt idx="28">
                  <c:v>363.56836132485546</c:v>
                </c:pt>
                <c:pt idx="29">
                  <c:v>251.82534322126264</c:v>
                </c:pt>
                <c:pt idx="30">
                  <c:v>150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E0-44CC-A7F2-FEC0F1815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05376"/>
        <c:axId val="58006912"/>
      </c:scatterChart>
      <c:valAx>
        <c:axId val="58005376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Arial Black" panose="020B0A04020102020204" pitchFamily="34" charset="0"/>
              </a:defRPr>
            </a:pPr>
            <a:endParaRPr lang="ru-RU"/>
          </a:p>
        </c:txPr>
        <c:crossAx val="58006912"/>
        <c:crosses val="autoZero"/>
        <c:crossBetween val="midCat"/>
      </c:valAx>
      <c:valAx>
        <c:axId val="58006912"/>
        <c:scaling>
          <c:orientation val="minMax"/>
          <c:max val="8700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 b="0" i="1">
                <a:latin typeface="Arial Black" panose="020B0A04020102020204" pitchFamily="34" charset="0"/>
                <a:cs typeface="Aharoni" panose="02010803020104030203" pitchFamily="2" charset="-79"/>
              </a:defRPr>
            </a:pPr>
            <a:endParaRPr lang="ru-RU"/>
          </a:p>
        </c:txPr>
        <c:crossAx val="58005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12</xdr:row>
      <xdr:rowOff>0</xdr:rowOff>
    </xdr:from>
    <xdr:to>
      <xdr:col>21</xdr:col>
      <xdr:colOff>603249</xdr:colOff>
      <xdr:row>51</xdr:row>
      <xdr:rowOff>127000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0.05567</cdr:x>
      <cdr:y>0.00637</cdr:y>
    </cdr:from>
    <cdr:to>
      <cdr:x>0.15518</cdr:x>
      <cdr:y>0.06509</cdr:y>
    </cdr:to>
    <cdr:sp macro="" textlink="">
      <cdr:nvSpPr>
        <cdr:cNvPr id="2" name="TextBox 3"/>
        <cdr:cNvSpPr txBox="1"/>
      </cdr:nvSpPr>
      <cdr:spPr>
        <a:xfrm xmlns:a="http://schemas.openxmlformats.org/drawingml/2006/main">
          <a:off x="614185" y="48135"/>
          <a:ext cx="1097907" cy="443718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 i="0">
              <a:latin typeface="Cambria Math"/>
            </a:rPr>
            <a:t>𝑻, [𝑪]</a:t>
          </a:r>
          <a:endParaRPr lang="ru-RU" sz="1600" b="1"/>
        </a:p>
      </cdr:txBody>
    </cdr:sp>
  </cdr:relSizeAnchor>
  <cdr:relSizeAnchor xmlns:cdr="http://schemas.openxmlformats.org/drawingml/2006/chartDrawing">
    <cdr:from>
      <cdr:x>0.88518</cdr:x>
      <cdr:y>0.86597</cdr:y>
    </cdr:from>
    <cdr:to>
      <cdr:x>0.99198</cdr:x>
      <cdr:y>0.92469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766348" y="6543676"/>
          <a:ext cx="1178338" cy="443717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 i="0">
              <a:latin typeface="Cambria Math"/>
            </a:rPr>
            <a:t>𝑳, [𝒎]</a:t>
          </a:r>
          <a:endParaRPr lang="ru-RU" sz="1600" b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</xdr:colOff>
      <xdr:row>12</xdr:row>
      <xdr:rowOff>0</xdr:rowOff>
    </xdr:from>
    <xdr:to>
      <xdr:col>27</xdr:col>
      <xdr:colOff>149679</xdr:colOff>
      <xdr:row>46</xdr:row>
      <xdr:rowOff>149679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0.05103</cdr:x>
      <cdr:y>0.03686</cdr:y>
    </cdr:from>
    <cdr:to>
      <cdr:x>0.15054</cdr:x>
      <cdr:y>0.08858</cdr:y>
    </cdr:to>
    <cdr:sp macro="" textlink="">
      <cdr:nvSpPr>
        <cdr:cNvPr id="2" name="TextBox 3"/>
        <cdr:cNvSpPr txBox="1"/>
      </cdr:nvSpPr>
      <cdr:spPr>
        <a:xfrm xmlns:a="http://schemas.openxmlformats.org/drawingml/2006/main">
          <a:off x="543039" y="244228"/>
          <a:ext cx="1058865" cy="34278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 i="0">
              <a:latin typeface="Cambria Math"/>
            </a:rPr>
            <a:t>𝑻, [𝑪]</a:t>
          </a:r>
          <a:endParaRPr lang="ru-RU" sz="1600" b="1"/>
        </a:p>
      </cdr:txBody>
    </cdr:sp>
  </cdr:relSizeAnchor>
  <cdr:relSizeAnchor xmlns:cdr="http://schemas.openxmlformats.org/drawingml/2006/chartDrawing">
    <cdr:from>
      <cdr:x>0.8932</cdr:x>
      <cdr:y>0.85365</cdr:y>
    </cdr:from>
    <cdr:to>
      <cdr:x>1</cdr:x>
      <cdr:y>0.91237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10063649" y="5714955"/>
          <a:ext cx="1196019" cy="39311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 i="0">
              <a:latin typeface="Cambria Math"/>
            </a:rPr>
            <a:t>𝑳, [𝒎]</a:t>
          </a:r>
          <a:endParaRPr lang="ru-RU" sz="1600" b="1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12</xdr:row>
      <xdr:rowOff>0</xdr:rowOff>
    </xdr:from>
    <xdr:to>
      <xdr:col>26</xdr:col>
      <xdr:colOff>523875</xdr:colOff>
      <xdr:row>57</xdr:row>
      <xdr:rowOff>79375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0.07059</cdr:x>
      <cdr:y>0.01546</cdr:y>
    </cdr:from>
    <cdr:to>
      <cdr:x>0.1701</cdr:x>
      <cdr:y>0.07418</cdr:y>
    </cdr:to>
    <cdr:sp macro="" textlink="">
      <cdr:nvSpPr>
        <cdr:cNvPr id="2" name="TextBox 3"/>
        <cdr:cNvSpPr txBox="1"/>
      </cdr:nvSpPr>
      <cdr:spPr>
        <a:xfrm xmlns:a="http://schemas.openxmlformats.org/drawingml/2006/main">
          <a:off x="772727" y="107994"/>
          <a:ext cx="1089376" cy="41016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 i="0">
              <a:latin typeface="Cambria Math"/>
            </a:rPr>
            <a:t>𝑻, [𝑪]</a:t>
          </a:r>
          <a:endParaRPr lang="ru-RU" sz="1600" b="1"/>
        </a:p>
      </cdr:txBody>
    </cdr:sp>
  </cdr:relSizeAnchor>
  <cdr:relSizeAnchor xmlns:cdr="http://schemas.openxmlformats.org/drawingml/2006/chartDrawing">
    <cdr:from>
      <cdr:x>0.90245</cdr:x>
      <cdr:y>0.88121</cdr:y>
    </cdr:from>
    <cdr:to>
      <cdr:x>0.98985</cdr:x>
      <cdr:y>0.93781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879505" y="5511762"/>
          <a:ext cx="956770" cy="35398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 i="0">
              <a:latin typeface="Cambria Math"/>
            </a:rPr>
            <a:t>𝑳, [𝒎]</a:t>
          </a:r>
          <a:endParaRPr lang="ru-RU" sz="1600" b="1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7"/>
  <sheetViews>
    <sheetView zoomScale="60" zoomScaleNormal="60" workbookViewId="0">
      <selection activeCell="Y20" sqref="Y20"/>
    </sheetView>
  </sheetViews>
  <sheetFormatPr defaultRowHeight="15" x14ac:dyDescent="0.25"/>
  <sheetData>
    <row r="3" spans="2:36" x14ac:dyDescent="0.25">
      <c r="B3" s="1" t="s">
        <v>0</v>
      </c>
      <c r="C3" s="1">
        <v>0.1</v>
      </c>
      <c r="E3" s="20"/>
      <c r="F3" s="18">
        <v>1</v>
      </c>
      <c r="G3" s="1">
        <v>2</v>
      </c>
      <c r="H3" s="1">
        <v>3</v>
      </c>
      <c r="I3" s="1">
        <v>4</v>
      </c>
      <c r="J3" s="1">
        <v>5</v>
      </c>
      <c r="K3" s="1">
        <v>6</v>
      </c>
      <c r="L3" s="1">
        <v>7</v>
      </c>
      <c r="M3" s="1">
        <v>8</v>
      </c>
      <c r="N3" s="1">
        <v>9</v>
      </c>
      <c r="O3" s="1">
        <v>10</v>
      </c>
      <c r="P3" s="1">
        <v>11</v>
      </c>
      <c r="Q3" s="1">
        <v>12</v>
      </c>
      <c r="R3" s="1">
        <v>13</v>
      </c>
      <c r="S3" s="1">
        <v>14</v>
      </c>
      <c r="T3" s="1">
        <v>15</v>
      </c>
      <c r="U3" s="1">
        <v>16</v>
      </c>
      <c r="V3" s="1">
        <v>17</v>
      </c>
      <c r="W3" s="1">
        <v>18</v>
      </c>
      <c r="X3" s="1">
        <v>19</v>
      </c>
      <c r="Y3" s="1">
        <v>20</v>
      </c>
      <c r="Z3" s="1">
        <v>21</v>
      </c>
      <c r="AA3" s="1">
        <v>22</v>
      </c>
      <c r="AB3" s="1">
        <v>23</v>
      </c>
      <c r="AC3" s="1">
        <v>24</v>
      </c>
      <c r="AD3" s="1">
        <v>25</v>
      </c>
      <c r="AE3" s="1">
        <v>26</v>
      </c>
      <c r="AF3" s="1">
        <v>27</v>
      </c>
      <c r="AG3" s="1">
        <v>28</v>
      </c>
      <c r="AH3" s="1">
        <v>29</v>
      </c>
      <c r="AI3" s="1">
        <v>30</v>
      </c>
      <c r="AJ3" s="1">
        <v>31</v>
      </c>
    </row>
    <row r="4" spans="2:36" x14ac:dyDescent="0.25">
      <c r="B4" s="1" t="s">
        <v>1</v>
      </c>
      <c r="C4" s="4">
        <f>C3/30</f>
        <v>3.3333333333333335E-3</v>
      </c>
      <c r="E4" s="21" t="s">
        <v>0</v>
      </c>
      <c r="F4" s="19">
        <v>0</v>
      </c>
      <c r="G4" s="3">
        <f>F3*$C$4</f>
        <v>3.3333333333333335E-3</v>
      </c>
      <c r="H4" s="3">
        <f t="shared" ref="H4:AJ4" si="0">G3*$C$4</f>
        <v>6.6666666666666671E-3</v>
      </c>
      <c r="I4" s="3">
        <f t="shared" si="0"/>
        <v>0.01</v>
      </c>
      <c r="J4" s="3">
        <f t="shared" si="0"/>
        <v>1.3333333333333334E-2</v>
      </c>
      <c r="K4" s="3">
        <f t="shared" si="0"/>
        <v>1.6666666666666666E-2</v>
      </c>
      <c r="L4" s="3">
        <f t="shared" si="0"/>
        <v>0.02</v>
      </c>
      <c r="M4" s="3">
        <f t="shared" si="0"/>
        <v>2.3333333333333334E-2</v>
      </c>
      <c r="N4" s="3">
        <f t="shared" si="0"/>
        <v>2.6666666666666668E-2</v>
      </c>
      <c r="O4" s="3">
        <f t="shared" si="0"/>
        <v>3.0000000000000002E-2</v>
      </c>
      <c r="P4" s="3">
        <f t="shared" si="0"/>
        <v>3.3333333333333333E-2</v>
      </c>
      <c r="Q4" s="3">
        <f t="shared" si="0"/>
        <v>3.6666666666666667E-2</v>
      </c>
      <c r="R4" s="3">
        <f t="shared" si="0"/>
        <v>0.04</v>
      </c>
      <c r="S4" s="3">
        <f t="shared" si="0"/>
        <v>4.3333333333333335E-2</v>
      </c>
      <c r="T4" s="3">
        <f t="shared" si="0"/>
        <v>4.6666666666666669E-2</v>
      </c>
      <c r="U4" s="3">
        <f t="shared" si="0"/>
        <v>0.05</v>
      </c>
      <c r="V4" s="3">
        <f t="shared" si="0"/>
        <v>5.3333333333333337E-2</v>
      </c>
      <c r="W4" s="3">
        <f t="shared" si="0"/>
        <v>5.6666666666666671E-2</v>
      </c>
      <c r="X4" s="3">
        <f t="shared" si="0"/>
        <v>6.0000000000000005E-2</v>
      </c>
      <c r="Y4" s="3">
        <f t="shared" si="0"/>
        <v>6.3333333333333339E-2</v>
      </c>
      <c r="Z4" s="3">
        <f t="shared" si="0"/>
        <v>6.6666666666666666E-2</v>
      </c>
      <c r="AA4" s="3">
        <f t="shared" si="0"/>
        <v>7.0000000000000007E-2</v>
      </c>
      <c r="AB4" s="3">
        <f t="shared" si="0"/>
        <v>7.3333333333333334E-2</v>
      </c>
      <c r="AC4" s="3">
        <f t="shared" si="0"/>
        <v>7.6666666666666675E-2</v>
      </c>
      <c r="AD4" s="3">
        <f t="shared" si="0"/>
        <v>0.08</v>
      </c>
      <c r="AE4" s="3">
        <f t="shared" si="0"/>
        <v>8.3333333333333343E-2</v>
      </c>
      <c r="AF4" s="3">
        <f t="shared" si="0"/>
        <v>8.666666666666667E-2</v>
      </c>
      <c r="AG4" s="3">
        <f t="shared" si="0"/>
        <v>9.0000000000000011E-2</v>
      </c>
      <c r="AH4" s="3">
        <f t="shared" si="0"/>
        <v>9.3333333333333338E-2</v>
      </c>
      <c r="AI4" s="3">
        <f t="shared" si="0"/>
        <v>9.6666666666666679E-2</v>
      </c>
      <c r="AJ4" s="3">
        <f t="shared" si="0"/>
        <v>0.1</v>
      </c>
    </row>
    <row r="5" spans="2:36" x14ac:dyDescent="0.25">
      <c r="B5" s="1" t="s">
        <v>2</v>
      </c>
      <c r="C5" s="4">
        <f>(C9*C8*C4^2)/(2*C10)</f>
        <v>0.4333333333333334</v>
      </c>
      <c r="E5" s="21" t="s">
        <v>7</v>
      </c>
      <c r="F5" s="6">
        <f>C12</f>
        <v>200</v>
      </c>
      <c r="G5" s="6">
        <v>183.47970818082703</v>
      </c>
      <c r="H5" s="6">
        <v>167.14635360856536</v>
      </c>
      <c r="I5" s="6">
        <v>151.18117465131121</v>
      </c>
      <c r="J5" s="6">
        <v>135.75433953830424</v>
      </c>
      <c r="K5" s="6">
        <v>121.02020330412687</v>
      </c>
      <c r="L5" s="6">
        <v>107.11344223391121</v>
      </c>
      <c r="M5" s="6">
        <v>94.146244775573066</v>
      </c>
      <c r="N5" s="6">
        <v>82.206655526724489</v>
      </c>
      <c r="O5" s="6">
        <v>71.358082499295065</v>
      </c>
      <c r="P5" s="6">
        <v>61.639895446380855</v>
      </c>
      <c r="Q5" s="6">
        <v>53.068971812702053</v>
      </c>
      <c r="R5" s="6">
        <v>45.641992506115145</v>
      </c>
      <c r="S5" s="6">
        <v>39.338255810764799</v>
      </c>
      <c r="T5" s="6">
        <v>34.122765746439086</v>
      </c>
      <c r="U5" s="6">
        <v>29.94936019667611</v>
      </c>
      <c r="V5" s="6">
        <v>26.763671440894356</v>
      </c>
      <c r="W5" s="6">
        <v>24.505753141768153</v>
      </c>
      <c r="X5" s="6">
        <v>23.112258271437668</v>
      </c>
      <c r="Y5" s="6">
        <v>22.518106505735201</v>
      </c>
      <c r="Z5" s="6">
        <v>22.657632091623562</v>
      </c>
      <c r="AA5" s="6">
        <v>23.46524958486911</v>
      </c>
      <c r="AB5" s="6">
        <v>24.875711647429664</v>
      </c>
      <c r="AC5" s="6">
        <v>26.824057976070492</v>
      </c>
      <c r="AD5" s="6">
        <v>29.245366380235865</v>
      </c>
      <c r="AE5" s="6">
        <v>32.07441627042347</v>
      </c>
      <c r="AF5" s="6">
        <v>35.245362725461639</v>
      </c>
      <c r="AG5" s="6">
        <v>38.691498182662315</v>
      </c>
      <c r="AH5" s="6">
        <v>42.34515162580503</v>
      </c>
      <c r="AI5" s="6">
        <v>46.13774530865598</v>
      </c>
      <c r="AJ5" s="13">
        <f>C13</f>
        <v>50</v>
      </c>
    </row>
    <row r="6" spans="2:36" x14ac:dyDescent="0.25">
      <c r="B6" s="1" t="s">
        <v>3</v>
      </c>
      <c r="C6" s="1">
        <v>40</v>
      </c>
      <c r="D6">
        <v>40.300000000000004</v>
      </c>
      <c r="E6" s="1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8"/>
    </row>
    <row r="7" spans="2:36" x14ac:dyDescent="0.25">
      <c r="E7" s="22" t="s">
        <v>8</v>
      </c>
      <c r="F7" s="15"/>
      <c r="G7" s="15">
        <f t="shared" ref="G7:AH7" si="1">G10*H7+G11</f>
        <v>183.57179142916601</v>
      </c>
      <c r="H7" s="15">
        <f t="shared" si="1"/>
        <v>167.3277493550099</v>
      </c>
      <c r="I7" s="15">
        <f t="shared" si="1"/>
        <v>151.4464987737428</v>
      </c>
      <c r="J7" s="15">
        <f t="shared" si="1"/>
        <v>136.09589643733887</v>
      </c>
      <c r="K7" s="15">
        <f t="shared" si="1"/>
        <v>121.42840789900411</v>
      </c>
      <c r="L7" s="15">
        <f t="shared" si="1"/>
        <v>107.5773285504238</v>
      </c>
      <c r="M7" s="15">
        <f t="shared" si="1"/>
        <v>94.654021834868615</v>
      </c>
      <c r="N7" s="15">
        <f t="shared" si="1"/>
        <v>82.746269237904528</v>
      </c>
      <c r="O7" s="15">
        <f t="shared" si="1"/>
        <v>71.917744063300447</v>
      </c>
      <c r="P7" s="15">
        <f t="shared" si="1"/>
        <v>62.208542016707149</v>
      </c>
      <c r="Q7" s="15">
        <f t="shared" si="1"/>
        <v>53.636633110766411</v>
      </c>
      <c r="R7" s="15">
        <f t="shared" si="1"/>
        <v>46.200046800954397</v>
      </c>
      <c r="S7" s="15">
        <f t="shared" si="1"/>
        <v>39.879569080820886</v>
      </c>
      <c r="T7" s="15">
        <f t="shared" si="1"/>
        <v>34.641717900799541</v>
      </c>
      <c r="U7" s="15">
        <f t="shared" si="1"/>
        <v>30.441771029499101</v>
      </c>
      <c r="V7" s="15">
        <f t="shared" si="1"/>
        <v>27.226645823844628</v>
      </c>
      <c r="W7" s="15">
        <f t="shared" si="1"/>
        <v>24.937469384090701</v>
      </c>
      <c r="X7" s="15">
        <f t="shared" si="1"/>
        <v>23.511725428981872</v>
      </c>
      <c r="Y7" s="15">
        <f t="shared" si="1"/>
        <v>22.884915788961461</v>
      </c>
      <c r="Z7" s="15">
        <f t="shared" si="1"/>
        <v>22.991724715393573</v>
      </c>
      <c r="AA7" s="15">
        <f t="shared" si="1"/>
        <v>23.76671888936572</v>
      </c>
      <c r="AB7" s="15">
        <f t="shared" si="1"/>
        <v>25.144651672331079</v>
      </c>
      <c r="AC7" s="15">
        <f t="shared" si="1"/>
        <v>27.060464505099272</v>
      </c>
      <c r="AD7" s="15">
        <f t="shared" si="1"/>
        <v>29.449090395925019</v>
      </c>
      <c r="AE7" s="15">
        <f t="shared" si="1"/>
        <v>32.245164318129056</v>
      </c>
      <c r="AF7" s="15">
        <f t="shared" si="1"/>
        <v>35.382734335744274</v>
      </c>
      <c r="AG7" s="15">
        <f t="shared" si="1"/>
        <v>38.795047573924755</v>
      </c>
      <c r="AH7" s="15">
        <f t="shared" si="1"/>
        <v>42.414459594630088</v>
      </c>
      <c r="AI7" s="15">
        <f>AI10*AJ7+AI11</f>
        <v>46.172487552985515</v>
      </c>
      <c r="AJ7" s="16">
        <f>AJ5</f>
        <v>50</v>
      </c>
    </row>
    <row r="8" spans="2:36" x14ac:dyDescent="0.25">
      <c r="B8" s="1" t="s">
        <v>4</v>
      </c>
      <c r="C8" s="1">
        <v>460</v>
      </c>
    </row>
    <row r="9" spans="2:36" x14ac:dyDescent="0.25">
      <c r="B9" s="2" t="s">
        <v>6</v>
      </c>
      <c r="C9" s="1">
        <v>7800</v>
      </c>
    </row>
    <row r="10" spans="2:36" x14ac:dyDescent="0.25">
      <c r="B10" s="2" t="s">
        <v>5</v>
      </c>
      <c r="C10" s="1">
        <v>46</v>
      </c>
      <c r="E10" s="20" t="s">
        <v>18</v>
      </c>
      <c r="F10" s="10">
        <v>0</v>
      </c>
      <c r="G10" s="10">
        <f>$C$15/($C$16-$C$17*F10)</f>
        <v>0.25</v>
      </c>
      <c r="H10" s="10">
        <f>$C$15/($C$16-$C$17*G10)</f>
        <v>0.26666666666666666</v>
      </c>
      <c r="I10" s="10">
        <f t="shared" ref="I10:AI10" si="2">$C$15/($C$16-$C$17*H10)</f>
        <v>0.26785714285714285</v>
      </c>
      <c r="J10" s="10">
        <f t="shared" si="2"/>
        <v>0.26794258373205743</v>
      </c>
      <c r="K10" s="10">
        <f t="shared" si="2"/>
        <v>0.26794871794871794</v>
      </c>
      <c r="L10" s="10">
        <f t="shared" si="2"/>
        <v>0.26794915836482308</v>
      </c>
      <c r="M10" s="10">
        <f t="shared" si="2"/>
        <v>0.26794918998527245</v>
      </c>
      <c r="N10" s="10">
        <f t="shared" si="2"/>
        <v>0.26794919225551855</v>
      </c>
      <c r="O10" s="10">
        <f t="shared" si="2"/>
        <v>0.26794919241851489</v>
      </c>
      <c r="P10" s="10">
        <f t="shared" si="2"/>
        <v>0.26794919243021753</v>
      </c>
      <c r="Q10" s="10">
        <f t="shared" si="2"/>
        <v>0.26794919243105775</v>
      </c>
      <c r="R10" s="10">
        <f t="shared" si="2"/>
        <v>0.26794919243111803</v>
      </c>
      <c r="S10" s="10">
        <f t="shared" si="2"/>
        <v>0.26794919243112236</v>
      </c>
      <c r="T10" s="10">
        <f t="shared" si="2"/>
        <v>0.2679491924311227</v>
      </c>
      <c r="U10" s="10">
        <f t="shared" si="2"/>
        <v>0.2679491924311227</v>
      </c>
      <c r="V10" s="10">
        <f t="shared" si="2"/>
        <v>0.2679491924311227</v>
      </c>
      <c r="W10" s="10">
        <f t="shared" si="2"/>
        <v>0.2679491924311227</v>
      </c>
      <c r="X10" s="10">
        <f t="shared" si="2"/>
        <v>0.2679491924311227</v>
      </c>
      <c r="Y10" s="10">
        <f t="shared" si="2"/>
        <v>0.2679491924311227</v>
      </c>
      <c r="Z10" s="10">
        <f t="shared" si="2"/>
        <v>0.2679491924311227</v>
      </c>
      <c r="AA10" s="10">
        <f t="shared" si="2"/>
        <v>0.2679491924311227</v>
      </c>
      <c r="AB10" s="10">
        <f t="shared" si="2"/>
        <v>0.2679491924311227</v>
      </c>
      <c r="AC10" s="10">
        <f t="shared" si="2"/>
        <v>0.2679491924311227</v>
      </c>
      <c r="AD10" s="10">
        <f t="shared" si="2"/>
        <v>0.2679491924311227</v>
      </c>
      <c r="AE10" s="10">
        <f t="shared" si="2"/>
        <v>0.2679491924311227</v>
      </c>
      <c r="AF10" s="10">
        <f t="shared" si="2"/>
        <v>0.2679491924311227</v>
      </c>
      <c r="AG10" s="10">
        <f t="shared" si="2"/>
        <v>0.2679491924311227</v>
      </c>
      <c r="AH10" s="10">
        <f t="shared" si="2"/>
        <v>0.2679491924311227</v>
      </c>
      <c r="AI10" s="11">
        <f t="shared" si="2"/>
        <v>0.2679491924311227</v>
      </c>
    </row>
    <row r="11" spans="2:36" x14ac:dyDescent="0.25">
      <c r="E11" s="21" t="s">
        <v>19</v>
      </c>
      <c r="F11" s="6">
        <f>C12</f>
        <v>200</v>
      </c>
      <c r="G11" s="6">
        <f>(F11*$C$17-G12)/($C$16-$C$17*F10)</f>
        <v>141.73985409041353</v>
      </c>
      <c r="H11" s="6">
        <f>(G11*$C$17-H12)/($C$16-$C$17*G10)</f>
        <v>126.94201634867848</v>
      </c>
      <c r="I11" s="6">
        <f t="shared" ref="I11:AI11" si="3">(H11*$C$17-I12)/($C$16-$C$17*H10)</f>
        <v>114.9922407994556</v>
      </c>
      <c r="J11" s="6">
        <f t="shared" si="3"/>
        <v>103.56005508640952</v>
      </c>
      <c r="K11" s="6">
        <f t="shared" si="3"/>
        <v>92.60320063357004</v>
      </c>
      <c r="L11" s="6">
        <f t="shared" si="3"/>
        <v>82.214863063925165</v>
      </c>
      <c r="M11" s="6">
        <f t="shared" si="3"/>
        <v>72.482226018268832</v>
      </c>
      <c r="N11" s="6">
        <f t="shared" si="3"/>
        <v>63.475967807304052</v>
      </c>
      <c r="O11" s="6">
        <f t="shared" si="3"/>
        <v>55.249015468390517</v>
      </c>
      <c r="P11" s="6">
        <f t="shared" si="3"/>
        <v>47.83664949000142</v>
      </c>
      <c r="Q11" s="6">
        <f t="shared" si="3"/>
        <v>41.257367880173611</v>
      </c>
      <c r="R11" s="6">
        <f t="shared" si="3"/>
        <v>35.514348471247459</v>
      </c>
      <c r="S11" s="6">
        <f t="shared" si="3"/>
        <v>30.597348744874893</v>
      </c>
      <c r="T11" s="6">
        <f t="shared" si="3"/>
        <v>26.484869937272112</v>
      </c>
      <c r="U11" s="6">
        <f t="shared" si="3"/>
        <v>23.146413268391733</v>
      </c>
      <c r="V11" s="6">
        <f t="shared" si="3"/>
        <v>20.54467104110168</v>
      </c>
      <c r="W11" s="6">
        <f t="shared" si="3"/>
        <v>18.637521542732717</v>
      </c>
      <c r="X11" s="6">
        <f t="shared" si="3"/>
        <v>17.379730724475401</v>
      </c>
      <c r="Y11" s="6">
        <f t="shared" si="3"/>
        <v>16.724301718873068</v>
      </c>
      <c r="Z11" s="6">
        <f t="shared" si="3"/>
        <v>16.623451582250521</v>
      </c>
      <c r="AA11" s="6">
        <f t="shared" si="3"/>
        <v>17.02922977980273</v>
      </c>
      <c r="AB11" s="6">
        <f t="shared" si="3"/>
        <v>17.893822061378671</v>
      </c>
      <c r="AC11" s="6">
        <f t="shared" si="3"/>
        <v>19.169604515680032</v>
      </c>
      <c r="AD11" s="6">
        <f t="shared" si="3"/>
        <v>20.809024657073483</v>
      </c>
      <c r="AE11" s="6">
        <f t="shared" si="3"/>
        <v>22.764389226861425</v>
      </c>
      <c r="AF11" s="6">
        <f t="shared" si="3"/>
        <v>24.987632667984155</v>
      </c>
      <c r="AG11" s="6">
        <f t="shared" si="3"/>
        <v>27.430127378141137</v>
      </c>
      <c r="AH11" s="6">
        <f t="shared" si="3"/>
        <v>30.042578842271553</v>
      </c>
      <c r="AI11" s="13">
        <f t="shared" si="3"/>
        <v>32.775027931429385</v>
      </c>
    </row>
    <row r="12" spans="2:36" x14ac:dyDescent="0.25">
      <c r="B12" s="1" t="s">
        <v>14</v>
      </c>
      <c r="C12" s="1">
        <v>200</v>
      </c>
      <c r="E12" s="22" t="s">
        <v>20</v>
      </c>
      <c r="F12" s="15">
        <f>-($C$9*$C$8/$C$5)*F5</f>
        <v>-1655999999.9999998</v>
      </c>
      <c r="G12" s="15">
        <f>-($C$9*$C$8/$C$5)*G5</f>
        <v>-1519211983.7372477</v>
      </c>
      <c r="H12" s="15">
        <f t="shared" ref="H12:AI12" si="4">-($C$9*$C$8/$C$5)*H5</f>
        <v>-1383971807.878921</v>
      </c>
      <c r="I12" s="15">
        <f t="shared" si="4"/>
        <v>-1251780126.1128566</v>
      </c>
      <c r="J12" s="15">
        <f t="shared" si="4"/>
        <v>-1124045931.3771589</v>
      </c>
      <c r="K12" s="15">
        <f t="shared" si="4"/>
        <v>-1002047283.3581704</v>
      </c>
      <c r="L12" s="15">
        <f t="shared" si="4"/>
        <v>-886899301.69678473</v>
      </c>
      <c r="M12" s="15">
        <f t="shared" si="4"/>
        <v>-779530906.74174488</v>
      </c>
      <c r="N12" s="15">
        <f t="shared" si="4"/>
        <v>-680671107.76127875</v>
      </c>
      <c r="O12" s="15">
        <f t="shared" si="4"/>
        <v>-590844923.09416306</v>
      </c>
      <c r="P12" s="15">
        <f t="shared" si="4"/>
        <v>-510378334.29603344</v>
      </c>
      <c r="Q12" s="15">
        <f t="shared" si="4"/>
        <v>-439411086.60917294</v>
      </c>
      <c r="R12" s="15">
        <f t="shared" si="4"/>
        <v>-377915697.95063335</v>
      </c>
      <c r="S12" s="15">
        <f t="shared" si="4"/>
        <v>-325720758.11313248</v>
      </c>
      <c r="T12" s="15">
        <f t="shared" si="4"/>
        <v>-282536500.38051558</v>
      </c>
      <c r="U12" s="15">
        <f t="shared" si="4"/>
        <v>-247980702.42847818</v>
      </c>
      <c r="V12" s="15">
        <f t="shared" si="4"/>
        <v>-221603199.53060526</v>
      </c>
      <c r="W12" s="15">
        <f t="shared" si="4"/>
        <v>-202907636.01384029</v>
      </c>
      <c r="X12" s="15">
        <f t="shared" si="4"/>
        <v>-191369498.48750386</v>
      </c>
      <c r="Y12" s="15">
        <f t="shared" si="4"/>
        <v>-186449921.86748743</v>
      </c>
      <c r="Z12" s="15">
        <f t="shared" si="4"/>
        <v>-187605193.71864307</v>
      </c>
      <c r="AA12" s="15">
        <f t="shared" si="4"/>
        <v>-194292266.56271622</v>
      </c>
      <c r="AB12" s="15">
        <f t="shared" si="4"/>
        <v>-205970892.44071761</v>
      </c>
      <c r="AC12" s="15">
        <f t="shared" si="4"/>
        <v>-222103200.04186365</v>
      </c>
      <c r="AD12" s="15">
        <f t="shared" si="4"/>
        <v>-242151633.62835294</v>
      </c>
      <c r="AE12" s="15">
        <f t="shared" si="4"/>
        <v>-265576166.71910629</v>
      </c>
      <c r="AF12" s="15">
        <f t="shared" si="4"/>
        <v>-291831603.36682236</v>
      </c>
      <c r="AG12" s="15">
        <f t="shared" si="4"/>
        <v>-320365604.95244396</v>
      </c>
      <c r="AH12" s="15">
        <f t="shared" si="4"/>
        <v>-350617855.46166563</v>
      </c>
      <c r="AI12" s="16">
        <f t="shared" si="4"/>
        <v>-382020531.15567148</v>
      </c>
    </row>
    <row r="13" spans="2:36" x14ac:dyDescent="0.25">
      <c r="B13" s="1" t="s">
        <v>11</v>
      </c>
      <c r="C13" s="1">
        <v>50</v>
      </c>
    </row>
    <row r="15" spans="2:36" x14ac:dyDescent="0.25">
      <c r="B15" s="9" t="s">
        <v>15</v>
      </c>
      <c r="C15" s="11">
        <f>C10/(C4^(2))</f>
        <v>4139999.9999999991</v>
      </c>
    </row>
    <row r="16" spans="2:36" x14ac:dyDescent="0.25">
      <c r="B16" s="12" t="s">
        <v>16</v>
      </c>
      <c r="C16" s="13">
        <f>2*C10/(C4^(2))+C9*C8/C5</f>
        <v>16559999.999999996</v>
      </c>
    </row>
    <row r="17" spans="2:3" x14ac:dyDescent="0.25">
      <c r="B17" s="14" t="s">
        <v>17</v>
      </c>
      <c r="C17" s="16">
        <f>C10/(C4^(2))</f>
        <v>4139999.9999999991</v>
      </c>
    </row>
  </sheetData>
  <conditionalFormatting sqref="F5:AJ5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7"/>
  <sheetViews>
    <sheetView zoomScale="70" zoomScaleNormal="70" workbookViewId="0">
      <selection activeCell="AD21" sqref="AD21"/>
    </sheetView>
  </sheetViews>
  <sheetFormatPr defaultRowHeight="15" x14ac:dyDescent="0.25"/>
  <cols>
    <col min="3" max="3" width="10.140625" bestFit="1" customWidth="1"/>
    <col min="6" max="36" width="6.7109375" customWidth="1"/>
  </cols>
  <sheetData>
    <row r="3" spans="2:36" x14ac:dyDescent="0.25">
      <c r="B3" s="1" t="s">
        <v>0</v>
      </c>
      <c r="C3" s="1">
        <v>0.1</v>
      </c>
      <c r="E3" s="1"/>
      <c r="F3" s="18">
        <v>1</v>
      </c>
      <c r="G3" s="1">
        <v>2</v>
      </c>
      <c r="H3" s="1">
        <v>3</v>
      </c>
      <c r="I3" s="1">
        <v>4</v>
      </c>
      <c r="J3" s="1">
        <v>5</v>
      </c>
      <c r="K3" s="1">
        <v>6</v>
      </c>
      <c r="L3" s="1">
        <v>7</v>
      </c>
      <c r="M3" s="1">
        <v>8</v>
      </c>
      <c r="N3" s="1">
        <v>9</v>
      </c>
      <c r="O3" s="1">
        <v>10</v>
      </c>
      <c r="P3" s="1">
        <v>11</v>
      </c>
      <c r="Q3" s="1">
        <v>12</v>
      </c>
      <c r="R3" s="1">
        <v>13</v>
      </c>
      <c r="S3" s="1">
        <v>14</v>
      </c>
      <c r="T3" s="1">
        <v>15</v>
      </c>
      <c r="U3" s="1">
        <v>16</v>
      </c>
      <c r="V3" s="1">
        <v>17</v>
      </c>
      <c r="W3" s="1">
        <v>18</v>
      </c>
      <c r="X3" s="1">
        <v>19</v>
      </c>
      <c r="Y3" s="1">
        <v>20</v>
      </c>
      <c r="Z3" s="1">
        <v>21</v>
      </c>
      <c r="AA3" s="1">
        <v>22</v>
      </c>
      <c r="AB3" s="1">
        <v>23</v>
      </c>
      <c r="AC3" s="1">
        <v>24</v>
      </c>
      <c r="AD3" s="1">
        <v>25</v>
      </c>
      <c r="AE3" s="1">
        <v>26</v>
      </c>
      <c r="AF3" s="1">
        <v>27</v>
      </c>
      <c r="AG3" s="1">
        <v>28</v>
      </c>
      <c r="AH3" s="1">
        <v>29</v>
      </c>
      <c r="AI3" s="1">
        <v>30</v>
      </c>
      <c r="AJ3" s="1">
        <v>31</v>
      </c>
    </row>
    <row r="4" spans="2:36" x14ac:dyDescent="0.25">
      <c r="B4" s="1" t="s">
        <v>1</v>
      </c>
      <c r="C4" s="4">
        <f>C3/30</f>
        <v>3.3333333333333335E-3</v>
      </c>
      <c r="E4" s="21" t="s">
        <v>0</v>
      </c>
      <c r="F4" s="19">
        <v>0</v>
      </c>
      <c r="G4" s="3">
        <f>F3*$C$4</f>
        <v>3.3333333333333335E-3</v>
      </c>
      <c r="H4" s="3">
        <f t="shared" ref="H4:AJ4" si="0">G3*$C$4</f>
        <v>6.6666666666666671E-3</v>
      </c>
      <c r="I4" s="3">
        <f t="shared" si="0"/>
        <v>0.01</v>
      </c>
      <c r="J4" s="3">
        <f t="shared" si="0"/>
        <v>1.3333333333333334E-2</v>
      </c>
      <c r="K4" s="3">
        <f t="shared" si="0"/>
        <v>1.6666666666666666E-2</v>
      </c>
      <c r="L4" s="3">
        <f t="shared" si="0"/>
        <v>0.02</v>
      </c>
      <c r="M4" s="3">
        <f t="shared" si="0"/>
        <v>2.3333333333333334E-2</v>
      </c>
      <c r="N4" s="3">
        <f t="shared" si="0"/>
        <v>2.6666666666666668E-2</v>
      </c>
      <c r="O4" s="3">
        <f t="shared" si="0"/>
        <v>3.0000000000000002E-2</v>
      </c>
      <c r="P4" s="3">
        <f t="shared" si="0"/>
        <v>3.3333333333333333E-2</v>
      </c>
      <c r="Q4" s="3">
        <f t="shared" si="0"/>
        <v>3.6666666666666667E-2</v>
      </c>
      <c r="R4" s="3">
        <f t="shared" si="0"/>
        <v>0.04</v>
      </c>
      <c r="S4" s="3">
        <f t="shared" si="0"/>
        <v>4.3333333333333335E-2</v>
      </c>
      <c r="T4" s="3">
        <f t="shared" si="0"/>
        <v>4.6666666666666669E-2</v>
      </c>
      <c r="U4" s="3">
        <f t="shared" si="0"/>
        <v>0.05</v>
      </c>
      <c r="V4" s="3">
        <f t="shared" si="0"/>
        <v>5.3333333333333337E-2</v>
      </c>
      <c r="W4" s="3">
        <f t="shared" si="0"/>
        <v>5.6666666666666671E-2</v>
      </c>
      <c r="X4" s="3">
        <f t="shared" si="0"/>
        <v>6.0000000000000005E-2</v>
      </c>
      <c r="Y4" s="3">
        <f t="shared" si="0"/>
        <v>6.3333333333333339E-2</v>
      </c>
      <c r="Z4" s="3">
        <f t="shared" si="0"/>
        <v>6.6666666666666666E-2</v>
      </c>
      <c r="AA4" s="3">
        <f t="shared" si="0"/>
        <v>7.0000000000000007E-2</v>
      </c>
      <c r="AB4" s="3">
        <f t="shared" si="0"/>
        <v>7.3333333333333334E-2</v>
      </c>
      <c r="AC4" s="3">
        <f t="shared" si="0"/>
        <v>7.6666666666666675E-2</v>
      </c>
      <c r="AD4" s="3">
        <f t="shared" si="0"/>
        <v>0.08</v>
      </c>
      <c r="AE4" s="3">
        <f t="shared" si="0"/>
        <v>8.3333333333333343E-2</v>
      </c>
      <c r="AF4" s="3">
        <f t="shared" si="0"/>
        <v>8.666666666666667E-2</v>
      </c>
      <c r="AG4" s="3">
        <f t="shared" si="0"/>
        <v>9.0000000000000011E-2</v>
      </c>
      <c r="AH4" s="3">
        <f t="shared" si="0"/>
        <v>9.3333333333333338E-2</v>
      </c>
      <c r="AI4" s="3">
        <f t="shared" si="0"/>
        <v>9.6666666666666679E-2</v>
      </c>
      <c r="AJ4" s="3">
        <f t="shared" si="0"/>
        <v>0.1</v>
      </c>
    </row>
    <row r="5" spans="2:36" x14ac:dyDescent="0.25">
      <c r="B5" s="1" t="s">
        <v>2</v>
      </c>
      <c r="C5" s="4">
        <f>(C9*C8*C4^2)/(2*C10)</f>
        <v>0.4333333333333334</v>
      </c>
      <c r="E5" s="22" t="s">
        <v>7</v>
      </c>
      <c r="F5" s="15">
        <f>(F8/$C$10)*$C$4+G5</f>
        <v>333.47792187621445</v>
      </c>
      <c r="G5" s="15">
        <v>326.81125520954777</v>
      </c>
      <c r="H5" s="15">
        <v>303.81536342631</v>
      </c>
      <c r="I5" s="15">
        <v>281.20156630625877</v>
      </c>
      <c r="J5" s="15">
        <v>259.15200604068332</v>
      </c>
      <c r="K5" s="15">
        <v>237.83847688678256</v>
      </c>
      <c r="L5" s="15">
        <v>217.41951958627675</v>
      </c>
      <c r="M5" s="15">
        <v>198.03794338114508</v>
      </c>
      <c r="N5" s="15">
        <v>179.81883776000797</v>
      </c>
      <c r="O5" s="15">
        <v>162.86811104375525</v>
      </c>
      <c r="P5" s="15">
        <v>147.27156716102479</v>
      </c>
      <c r="Q5" s="15">
        <v>133.09450717244547</v>
      </c>
      <c r="R5" s="15">
        <v>120.38181982408577</v>
      </c>
      <c r="S5" s="15">
        <v>109.1585069225121</v>
      </c>
      <c r="T5" s="15">
        <v>99.43057554512653</v>
      </c>
      <c r="U5" s="15">
        <v>91.186220537337078</v>
      </c>
      <c r="V5" s="15">
        <v>84.397217483873348</v>
      </c>
      <c r="W5" s="15">
        <v>79.020448053992823</v>
      </c>
      <c r="X5" s="15">
        <v>74.999485643161591</v>
      </c>
      <c r="Y5" s="15">
        <v>72.266178639696051</v>
      </c>
      <c r="Z5" s="15">
        <v>70.742180346594353</v>
      </c>
      <c r="AA5" s="15">
        <v>70.340387447187425</v>
      </c>
      <c r="AB5" s="15">
        <v>70.966261831322427</v>
      </c>
      <c r="AC5" s="15">
        <v>72.519022652679396</v>
      </c>
      <c r="AD5" s="15">
        <v>74.892705936659681</v>
      </c>
      <c r="AE5" s="15">
        <v>77.97709742793937</v>
      </c>
      <c r="AF5" s="15">
        <v>81.65855045486353</v>
      </c>
      <c r="AG5" s="15">
        <v>85.820704450428735</v>
      </c>
      <c r="AH5" s="15">
        <v>90.345121682664981</v>
      </c>
      <c r="AI5" s="15">
        <v>95.111860148273337</v>
      </c>
      <c r="AJ5" s="16">
        <f>C13</f>
        <v>100</v>
      </c>
    </row>
    <row r="6" spans="2:36" x14ac:dyDescent="0.25">
      <c r="B6" s="1" t="s">
        <v>3</v>
      </c>
      <c r="C6" s="1">
        <v>60</v>
      </c>
      <c r="D6">
        <v>60.233333333333341</v>
      </c>
      <c r="E6" s="21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13"/>
    </row>
    <row r="7" spans="2:36" x14ac:dyDescent="0.25">
      <c r="E7" s="20" t="s">
        <v>8</v>
      </c>
      <c r="F7" s="10"/>
      <c r="G7" s="10">
        <f>G10*H7+G11</f>
        <v>326.90679386809774</v>
      </c>
      <c r="H7" s="10">
        <f>H10*I7+H11</f>
        <v>304.00466505329535</v>
      </c>
      <c r="I7" s="10">
        <f t="shared" ref="I7:AH7" si="1">I10*J7+I11</f>
        <v>281.48113949246357</v>
      </c>
      <c r="J7" s="10">
        <f t="shared" si="1"/>
        <v>259.51676030404127</v>
      </c>
      <c r="K7" s="10">
        <f t="shared" si="1"/>
        <v>238.28188964233496</v>
      </c>
      <c r="L7" s="10">
        <f t="shared" si="1"/>
        <v>217.93384449173351</v>
      </c>
      <c r="M7" s="10">
        <f t="shared" si="1"/>
        <v>198.61444915204544</v>
      </c>
      <c r="N7" s="10">
        <f t="shared" si="1"/>
        <v>180.44806535415799</v>
      </c>
      <c r="O7" s="10">
        <f t="shared" si="1"/>
        <v>163.54013674457056</v>
      </c>
      <c r="P7" s="10">
        <f t="shared" si="1"/>
        <v>147.97625953661361</v>
      </c>
      <c r="Q7" s="10">
        <f t="shared" si="1"/>
        <v>133.82176707983433</v>
      </c>
      <c r="R7" s="10">
        <f t="shared" si="1"/>
        <v>121.12179443783268</v>
      </c>
      <c r="S7" s="10">
        <f t="shared" si="1"/>
        <v>109.90177102332488</v>
      </c>
      <c r="T7" s="10">
        <f t="shared" si="1"/>
        <v>100.16827581044261</v>
      </c>
      <c r="U7" s="10">
        <f t="shared" si="1"/>
        <v>91.910181128192477</v>
      </c>
      <c r="V7" s="10">
        <f t="shared" si="1"/>
        <v>85.100007627653113</v>
      </c>
      <c r="W7" s="10">
        <f t="shared" si="1"/>
        <v>79.695414414673252</v>
      </c>
      <c r="X7" s="10">
        <f t="shared" si="1"/>
        <v>75.64075392305422</v>
      </c>
      <c r="Y7" s="10">
        <f t="shared" si="1"/>
        <v>72.868629991220388</v>
      </c>
      <c r="Z7" s="10">
        <f t="shared" si="1"/>
        <v>71.301408762435187</v>
      </c>
      <c r="AA7" s="10">
        <f t="shared" si="1"/>
        <v>70.852644365331628</v>
      </c>
      <c r="AB7" s="10">
        <f t="shared" si="1"/>
        <v>71.428393804516446</v>
      </c>
      <c r="AC7" s="10">
        <f t="shared" si="1"/>
        <v>72.928407190089303</v>
      </c>
      <c r="AD7" s="10">
        <f t="shared" si="1"/>
        <v>75.247189650481914</v>
      </c>
      <c r="AE7" s="10">
        <f t="shared" si="1"/>
        <v>78.274939538519007</v>
      </c>
      <c r="AF7" s="10">
        <f t="shared" si="1"/>
        <v>81.89837364771536</v>
      </c>
      <c r="AG7" s="10">
        <f t="shared" si="1"/>
        <v>86.001454142615344</v>
      </c>
      <c r="AH7" s="10">
        <f t="shared" si="1"/>
        <v>90.466034021888532</v>
      </c>
      <c r="AI7" s="10">
        <f>AI10*AJ7+AI11</f>
        <v>95.172438579608809</v>
      </c>
      <c r="AJ7" s="11">
        <f>AJ5</f>
        <v>100</v>
      </c>
    </row>
    <row r="8" spans="2:36" x14ac:dyDescent="0.25">
      <c r="B8" s="1" t="s">
        <v>4</v>
      </c>
      <c r="C8" s="1">
        <v>460</v>
      </c>
      <c r="E8" s="22" t="s">
        <v>9</v>
      </c>
      <c r="F8" s="15">
        <f>C14</f>
        <v>92000</v>
      </c>
      <c r="G8" s="15">
        <f>-$C$10*((G5-F5)/$C$4)</f>
        <v>92000.000000000247</v>
      </c>
      <c r="H8" s="15">
        <f>-$C$10*((H5-G5)/$C$4)</f>
        <v>317343.30660868116</v>
      </c>
      <c r="I8" s="15">
        <f t="shared" ref="I8:AJ8" si="2">-$C$10*((I5-H5)/$C$4)</f>
        <v>312070.40025670698</v>
      </c>
      <c r="J8" s="15">
        <f t="shared" si="2"/>
        <v>304283.93166494119</v>
      </c>
      <c r="K8" s="15">
        <f t="shared" si="2"/>
        <v>294126.70232383045</v>
      </c>
      <c r="L8" s="15">
        <f t="shared" si="2"/>
        <v>281781.61074698018</v>
      </c>
      <c r="M8" s="15">
        <f t="shared" si="2"/>
        <v>267465.75163081696</v>
      </c>
      <c r="N8" s="15">
        <f t="shared" si="2"/>
        <v>251423.65757169222</v>
      </c>
      <c r="O8" s="15">
        <f t="shared" si="2"/>
        <v>233920.02868428751</v>
      </c>
      <c r="P8" s="15">
        <f t="shared" si="2"/>
        <v>215232.3055816803</v>
      </c>
      <c r="Q8" s="15">
        <f t="shared" si="2"/>
        <v>195643.42784239457</v>
      </c>
      <c r="R8" s="15">
        <f t="shared" si="2"/>
        <v>175435.08540736398</v>
      </c>
      <c r="S8" s="15">
        <f t="shared" si="2"/>
        <v>154881.71804171655</v>
      </c>
      <c r="T8" s="15">
        <f t="shared" si="2"/>
        <v>134245.45300792091</v>
      </c>
      <c r="U8" s="15">
        <f t="shared" si="2"/>
        <v>113772.09910749443</v>
      </c>
      <c r="V8" s="15">
        <f t="shared" si="2"/>
        <v>93688.242137799476</v>
      </c>
      <c r="W8" s="15">
        <f t="shared" si="2"/>
        <v>74199.418132351246</v>
      </c>
      <c r="X8" s="15">
        <f t="shared" si="2"/>
        <v>55489.281269470986</v>
      </c>
      <c r="Y8" s="15">
        <f t="shared" si="2"/>
        <v>37719.63664782446</v>
      </c>
      <c r="Z8" s="15">
        <f t="shared" si="2"/>
        <v>21031.176444803434</v>
      </c>
      <c r="AA8" s="15">
        <f t="shared" si="2"/>
        <v>5544.7420118156051</v>
      </c>
      <c r="AB8" s="15">
        <f t="shared" si="2"/>
        <v>-8637.0665010630346</v>
      </c>
      <c r="AC8" s="15">
        <f t="shared" si="2"/>
        <v>-21428.099334726172</v>
      </c>
      <c r="AD8" s="15">
        <f t="shared" si="2"/>
        <v>-32756.829318927925</v>
      </c>
      <c r="AE8" s="15">
        <f t="shared" si="2"/>
        <v>-42564.602579659702</v>
      </c>
      <c r="AF8" s="15">
        <f t="shared" si="2"/>
        <v>-50804.051771553401</v>
      </c>
      <c r="AG8" s="15">
        <f t="shared" si="2"/>
        <v>-57437.725138799826</v>
      </c>
      <c r="AH8" s="15">
        <f t="shared" si="2"/>
        <v>-62436.957804860191</v>
      </c>
      <c r="AI8" s="15">
        <f t="shared" si="2"/>
        <v>-65780.990825395304</v>
      </c>
      <c r="AJ8" s="16">
        <f t="shared" si="2"/>
        <v>-67456.329953827953</v>
      </c>
    </row>
    <row r="9" spans="2:36" x14ac:dyDescent="0.25">
      <c r="B9" s="2" t="s">
        <v>6</v>
      </c>
      <c r="C9" s="1">
        <v>7800</v>
      </c>
      <c r="E9" s="21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13"/>
    </row>
    <row r="10" spans="2:36" x14ac:dyDescent="0.25">
      <c r="B10" s="2" t="s">
        <v>5</v>
      </c>
      <c r="C10" s="1">
        <v>46</v>
      </c>
      <c r="E10" s="20" t="s">
        <v>18</v>
      </c>
      <c r="F10" s="10">
        <v>0</v>
      </c>
      <c r="G10" s="10">
        <f>$C$15/($C$16-$C$17*F10)</f>
        <v>0.25</v>
      </c>
      <c r="H10" s="10">
        <f>$C$15/($C$16-$C$17*G10)</f>
        <v>0.26666666666666666</v>
      </c>
      <c r="I10" s="10">
        <f t="shared" ref="I10:AI10" si="3">$C$15/($C$16-$C$17*H10)</f>
        <v>0.26785714285714285</v>
      </c>
      <c r="J10" s="10">
        <f t="shared" si="3"/>
        <v>0.26794258373205743</v>
      </c>
      <c r="K10" s="10">
        <f t="shared" si="3"/>
        <v>0.26794871794871794</v>
      </c>
      <c r="L10" s="10">
        <f t="shared" si="3"/>
        <v>0.26794915836482308</v>
      </c>
      <c r="M10" s="10">
        <f t="shared" si="3"/>
        <v>0.26794918998527245</v>
      </c>
      <c r="N10" s="10">
        <f t="shared" si="3"/>
        <v>0.26794919225551855</v>
      </c>
      <c r="O10" s="10">
        <f t="shared" si="3"/>
        <v>0.26794919241851489</v>
      </c>
      <c r="P10" s="10">
        <f t="shared" si="3"/>
        <v>0.26794919243021753</v>
      </c>
      <c r="Q10" s="10">
        <f t="shared" si="3"/>
        <v>0.26794919243105775</v>
      </c>
      <c r="R10" s="10">
        <f t="shared" si="3"/>
        <v>0.26794919243111803</v>
      </c>
      <c r="S10" s="10">
        <f t="shared" si="3"/>
        <v>0.26794919243112236</v>
      </c>
      <c r="T10" s="10">
        <f t="shared" si="3"/>
        <v>0.2679491924311227</v>
      </c>
      <c r="U10" s="10">
        <f t="shared" si="3"/>
        <v>0.2679491924311227</v>
      </c>
      <c r="V10" s="10">
        <f t="shared" si="3"/>
        <v>0.2679491924311227</v>
      </c>
      <c r="W10" s="10">
        <f t="shared" si="3"/>
        <v>0.2679491924311227</v>
      </c>
      <c r="X10" s="10">
        <f t="shared" si="3"/>
        <v>0.2679491924311227</v>
      </c>
      <c r="Y10" s="10">
        <f t="shared" si="3"/>
        <v>0.2679491924311227</v>
      </c>
      <c r="Z10" s="10">
        <f t="shared" si="3"/>
        <v>0.2679491924311227</v>
      </c>
      <c r="AA10" s="10">
        <f t="shared" si="3"/>
        <v>0.2679491924311227</v>
      </c>
      <c r="AB10" s="10">
        <f t="shared" si="3"/>
        <v>0.2679491924311227</v>
      </c>
      <c r="AC10" s="10">
        <f t="shared" si="3"/>
        <v>0.2679491924311227</v>
      </c>
      <c r="AD10" s="10">
        <f t="shared" si="3"/>
        <v>0.2679491924311227</v>
      </c>
      <c r="AE10" s="10">
        <f t="shared" si="3"/>
        <v>0.2679491924311227</v>
      </c>
      <c r="AF10" s="10">
        <f t="shared" si="3"/>
        <v>0.2679491924311227</v>
      </c>
      <c r="AG10" s="10">
        <f t="shared" si="3"/>
        <v>0.2679491924311227</v>
      </c>
      <c r="AH10" s="10">
        <f t="shared" si="3"/>
        <v>0.2679491924311227</v>
      </c>
      <c r="AI10" s="10">
        <f t="shared" si="3"/>
        <v>0.2679491924311227</v>
      </c>
      <c r="AJ10" s="11"/>
    </row>
    <row r="11" spans="2:36" x14ac:dyDescent="0.25">
      <c r="E11" s="21" t="s">
        <v>19</v>
      </c>
      <c r="F11" s="6">
        <f>C12</f>
        <v>350</v>
      </c>
      <c r="G11" s="6">
        <f>(F11*$C$17-G12)/($C$16-$C$17*F10)</f>
        <v>250.90562760477388</v>
      </c>
      <c r="H11" s="6">
        <f>(G11*$C$17-H12)/($C$16-$C$17*G10)</f>
        <v>228.94302785530508</v>
      </c>
      <c r="I11" s="6">
        <f t="shared" ref="I11:AI11" si="4">(H11*$C$17-I12)/($C$16-$C$17*H10)</f>
        <v>211.96772155388109</v>
      </c>
      <c r="J11" s="6">
        <f t="shared" si="4"/>
        <v>195.67089513671709</v>
      </c>
      <c r="K11" s="6">
        <f t="shared" si="4"/>
        <v>179.88679541313971</v>
      </c>
      <c r="L11" s="6">
        <f t="shared" si="4"/>
        <v>164.71527000234997</v>
      </c>
      <c r="M11" s="6">
        <f t="shared" si="4"/>
        <v>150.26353620598931</v>
      </c>
      <c r="N11" s="6">
        <f t="shared" si="4"/>
        <v>136.62761781209326</v>
      </c>
      <c r="O11" s="6">
        <f t="shared" si="4"/>
        <v>123.89001750462238</v>
      </c>
      <c r="P11" s="6">
        <f t="shared" si="4"/>
        <v>112.11882511798734</v>
      </c>
      <c r="Q11" s="6">
        <f t="shared" si="4"/>
        <v>101.36728007441647</v>
      </c>
      <c r="R11" s="6">
        <f t="shared" si="4"/>
        <v>91.673703645383128</v>
      </c>
      <c r="S11" s="6">
        <f t="shared" si="4"/>
        <v>83.061762412698855</v>
      </c>
      <c r="T11" s="6">
        <f t="shared" si="4"/>
        <v>75.541017000945217</v>
      </c>
      <c r="U11" s="6">
        <f t="shared" si="4"/>
        <v>69.10770280848044</v>
      </c>
      <c r="V11" s="6">
        <f t="shared" si="4"/>
        <v>63.745685694777755</v>
      </c>
      <c r="W11" s="6">
        <f t="shared" si="4"/>
        <v>59.427535486109598</v>
      </c>
      <c r="X11" s="6">
        <f t="shared" si="4"/>
        <v>56.115663363344424</v>
      </c>
      <c r="Y11" s="6">
        <f t="shared" si="4"/>
        <v>53.763475094124502</v>
      </c>
      <c r="Z11" s="6">
        <f t="shared" si="4"/>
        <v>52.316499923135034</v>
      </c>
      <c r="AA11" s="6">
        <f t="shared" si="4"/>
        <v>51.713463928759239</v>
      </c>
      <c r="AB11" s="6">
        <f t="shared" si="4"/>
        <v>51.887285992643932</v>
      </c>
      <c r="AC11" s="6">
        <f t="shared" si="4"/>
        <v>52.765983490531134</v>
      </c>
      <c r="AD11" s="6">
        <f t="shared" si="4"/>
        <v>54.273482813540795</v>
      </c>
      <c r="AE11" s="6">
        <f t="shared" si="4"/>
        <v>56.33033645819134</v>
      </c>
      <c r="AF11" s="6">
        <f t="shared" si="4"/>
        <v>58.854353462299343</v>
      </c>
      <c r="AG11" s="6">
        <f t="shared" si="4"/>
        <v>61.76115338400384</v>
      </c>
      <c r="AH11" s="6">
        <f t="shared" si="4"/>
        <v>64.964655962781734</v>
      </c>
      <c r="AI11" s="6">
        <f t="shared" si="4"/>
        <v>68.377519336496547</v>
      </c>
      <c r="AJ11" s="13"/>
    </row>
    <row r="12" spans="2:36" x14ac:dyDescent="0.25">
      <c r="B12" s="1" t="s">
        <v>14</v>
      </c>
      <c r="C12" s="1">
        <v>350</v>
      </c>
      <c r="E12" s="22" t="s">
        <v>20</v>
      </c>
      <c r="F12" s="15">
        <f>-($C$9*$C$8/$C$5)*F5</f>
        <v>-2761197193.1350555</v>
      </c>
      <c r="G12" s="15">
        <f>-($C$9*$C$8/$C$5)*G5</f>
        <v>-2705997193.1350551</v>
      </c>
      <c r="H12" s="15">
        <f t="shared" ref="H12:AI12" si="5">-($C$9*$C$8/$C$5)*H5</f>
        <v>-2515591209.1698465</v>
      </c>
      <c r="I12" s="15">
        <f t="shared" si="5"/>
        <v>-2328348969.0158224</v>
      </c>
      <c r="J12" s="15">
        <f t="shared" si="5"/>
        <v>-2145778610.0168576</v>
      </c>
      <c r="K12" s="15">
        <f t="shared" si="5"/>
        <v>-1969302588.6225593</v>
      </c>
      <c r="L12" s="15">
        <f t="shared" si="5"/>
        <v>-1800233622.1743712</v>
      </c>
      <c r="M12" s="15">
        <f t="shared" si="5"/>
        <v>-1639754171.1958811</v>
      </c>
      <c r="N12" s="15">
        <f t="shared" si="5"/>
        <v>-1488899976.6528659</v>
      </c>
      <c r="O12" s="15">
        <f t="shared" si="5"/>
        <v>-1348547959.4422934</v>
      </c>
      <c r="P12" s="15">
        <f t="shared" si="5"/>
        <v>-1219408576.0932851</v>
      </c>
      <c r="Q12" s="15">
        <f t="shared" si="5"/>
        <v>-1102022519.3878484</v>
      </c>
      <c r="R12" s="15">
        <f t="shared" si="5"/>
        <v>-996761468.14342999</v>
      </c>
      <c r="S12" s="15">
        <f t="shared" si="5"/>
        <v>-903832437.31840014</v>
      </c>
      <c r="T12" s="15">
        <f t="shared" si="5"/>
        <v>-823285165.51364756</v>
      </c>
      <c r="U12" s="15">
        <f t="shared" si="5"/>
        <v>-755021906.04915094</v>
      </c>
      <c r="V12" s="15">
        <f t="shared" si="5"/>
        <v>-698808960.76647127</v>
      </c>
      <c r="W12" s="15">
        <f t="shared" si="5"/>
        <v>-654289309.88706052</v>
      </c>
      <c r="X12" s="15">
        <f t="shared" si="5"/>
        <v>-620995741.12537789</v>
      </c>
      <c r="Y12" s="15">
        <f t="shared" si="5"/>
        <v>-598363959.13668323</v>
      </c>
      <c r="Z12" s="15">
        <f t="shared" si="5"/>
        <v>-585745253.26980114</v>
      </c>
      <c r="AA12" s="15">
        <f t="shared" si="5"/>
        <v>-582418408.06271183</v>
      </c>
      <c r="AB12" s="15">
        <f t="shared" si="5"/>
        <v>-587600647.96334958</v>
      </c>
      <c r="AC12" s="15">
        <f t="shared" si="5"/>
        <v>-600457507.56418538</v>
      </c>
      <c r="AD12" s="15">
        <f t="shared" si="5"/>
        <v>-620111605.15554214</v>
      </c>
      <c r="AE12" s="15">
        <f t="shared" si="5"/>
        <v>-645650366.70333791</v>
      </c>
      <c r="AF12" s="15">
        <f t="shared" si="5"/>
        <v>-676132797.76626992</v>
      </c>
      <c r="AG12" s="15">
        <f t="shared" si="5"/>
        <v>-710595432.84954989</v>
      </c>
      <c r="AH12" s="15">
        <f t="shared" si="5"/>
        <v>-748057607.53246593</v>
      </c>
      <c r="AI12" s="15">
        <f t="shared" si="5"/>
        <v>-787526202.02770317</v>
      </c>
      <c r="AJ12" s="16"/>
    </row>
    <row r="13" spans="2:36" x14ac:dyDescent="0.25">
      <c r="B13" s="1" t="s">
        <v>11</v>
      </c>
      <c r="C13" s="1">
        <v>100</v>
      </c>
    </row>
    <row r="14" spans="2:36" x14ac:dyDescent="0.25">
      <c r="B14" s="1" t="s">
        <v>10</v>
      </c>
      <c r="C14" s="1">
        <v>92000</v>
      </c>
    </row>
    <row r="15" spans="2:36" x14ac:dyDescent="0.25">
      <c r="B15" s="9" t="s">
        <v>15</v>
      </c>
      <c r="C15" s="20">
        <f>C10/(C4^(2))</f>
        <v>4139999.9999999991</v>
      </c>
    </row>
    <row r="16" spans="2:36" x14ac:dyDescent="0.25">
      <c r="B16" s="12" t="s">
        <v>16</v>
      </c>
      <c r="C16" s="21">
        <f>2*C10/(C4^(2))+C9*C8/C5</f>
        <v>16559999.999999996</v>
      </c>
    </row>
    <row r="17" spans="2:3" x14ac:dyDescent="0.25">
      <c r="B17" s="14" t="s">
        <v>17</v>
      </c>
      <c r="C17" s="22">
        <f>C10/(C4^(2))</f>
        <v>4139999.9999999991</v>
      </c>
    </row>
  </sheetData>
  <conditionalFormatting sqref="F5:AJ5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3:AJ21"/>
  <sheetViews>
    <sheetView tabSelected="1" zoomScale="60" zoomScaleNormal="60" workbookViewId="0">
      <selection activeCell="B21" sqref="B21"/>
    </sheetView>
  </sheetViews>
  <sheetFormatPr defaultRowHeight="15" x14ac:dyDescent="0.25"/>
  <cols>
    <col min="5" max="5" width="7.28515625" customWidth="1"/>
  </cols>
  <sheetData>
    <row r="3" spans="2:36" x14ac:dyDescent="0.25">
      <c r="B3" s="1" t="s">
        <v>0</v>
      </c>
      <c r="C3" s="1">
        <v>0.1</v>
      </c>
      <c r="E3" s="20"/>
      <c r="F3" s="18">
        <v>1</v>
      </c>
      <c r="G3" s="1">
        <v>2</v>
      </c>
      <c r="H3" s="1">
        <v>3</v>
      </c>
      <c r="I3" s="1">
        <v>4</v>
      </c>
      <c r="J3" s="1">
        <v>5</v>
      </c>
      <c r="K3" s="1">
        <v>6</v>
      </c>
      <c r="L3" s="1">
        <v>7</v>
      </c>
      <c r="M3" s="1">
        <v>8</v>
      </c>
      <c r="N3" s="1">
        <v>9</v>
      </c>
      <c r="O3" s="1">
        <v>10</v>
      </c>
      <c r="P3" s="1">
        <v>11</v>
      </c>
      <c r="Q3" s="1">
        <v>12</v>
      </c>
      <c r="R3" s="1">
        <v>13</v>
      </c>
      <c r="S3" s="1">
        <v>14</v>
      </c>
      <c r="T3" s="1">
        <v>15</v>
      </c>
      <c r="U3" s="1">
        <v>16</v>
      </c>
      <c r="V3" s="1">
        <v>17</v>
      </c>
      <c r="W3" s="1">
        <v>18</v>
      </c>
      <c r="X3" s="1">
        <v>19</v>
      </c>
      <c r="Y3" s="1">
        <v>20</v>
      </c>
      <c r="Z3" s="1">
        <v>21</v>
      </c>
      <c r="AA3" s="1">
        <v>22</v>
      </c>
      <c r="AB3" s="1">
        <v>23</v>
      </c>
      <c r="AC3" s="1">
        <v>24</v>
      </c>
      <c r="AD3" s="1">
        <v>25</v>
      </c>
      <c r="AE3" s="1">
        <v>26</v>
      </c>
      <c r="AF3" s="1">
        <v>27</v>
      </c>
      <c r="AG3" s="1">
        <v>28</v>
      </c>
      <c r="AH3" s="1">
        <v>29</v>
      </c>
      <c r="AI3" s="1">
        <v>30</v>
      </c>
      <c r="AJ3" s="1">
        <v>31</v>
      </c>
    </row>
    <row r="4" spans="2:36" x14ac:dyDescent="0.25">
      <c r="B4" s="1" t="s">
        <v>1</v>
      </c>
      <c r="C4" s="4">
        <f>C3/30</f>
        <v>3.3333333333333335E-3</v>
      </c>
      <c r="E4" s="20" t="s">
        <v>0</v>
      </c>
      <c r="F4" s="19">
        <v>0</v>
      </c>
      <c r="G4" s="3">
        <f>F3*$C$4</f>
        <v>3.3333333333333335E-3</v>
      </c>
      <c r="H4" s="3">
        <f t="shared" ref="H4:AJ4" si="0">G3*$C$4</f>
        <v>6.6666666666666671E-3</v>
      </c>
      <c r="I4" s="3">
        <f t="shared" si="0"/>
        <v>0.01</v>
      </c>
      <c r="J4" s="3">
        <f t="shared" si="0"/>
        <v>1.3333333333333334E-2</v>
      </c>
      <c r="K4" s="3">
        <f t="shared" si="0"/>
        <v>1.6666666666666666E-2</v>
      </c>
      <c r="L4" s="3">
        <f t="shared" si="0"/>
        <v>0.02</v>
      </c>
      <c r="M4" s="3">
        <f t="shared" si="0"/>
        <v>2.3333333333333334E-2</v>
      </c>
      <c r="N4" s="3">
        <f t="shared" si="0"/>
        <v>2.6666666666666668E-2</v>
      </c>
      <c r="O4" s="3">
        <f t="shared" si="0"/>
        <v>3.0000000000000002E-2</v>
      </c>
      <c r="P4" s="3">
        <f t="shared" si="0"/>
        <v>3.3333333333333333E-2</v>
      </c>
      <c r="Q4" s="3">
        <f t="shared" si="0"/>
        <v>3.6666666666666667E-2</v>
      </c>
      <c r="R4" s="3">
        <f t="shared" si="0"/>
        <v>0.04</v>
      </c>
      <c r="S4" s="3">
        <f t="shared" si="0"/>
        <v>4.3333333333333335E-2</v>
      </c>
      <c r="T4" s="3">
        <f t="shared" si="0"/>
        <v>4.6666666666666669E-2</v>
      </c>
      <c r="U4" s="3">
        <f t="shared" si="0"/>
        <v>0.05</v>
      </c>
      <c r="V4" s="3">
        <f t="shared" si="0"/>
        <v>5.3333333333333337E-2</v>
      </c>
      <c r="W4" s="3">
        <f t="shared" si="0"/>
        <v>5.6666666666666671E-2</v>
      </c>
      <c r="X4" s="3">
        <f t="shared" si="0"/>
        <v>6.0000000000000005E-2</v>
      </c>
      <c r="Y4" s="3">
        <f t="shared" si="0"/>
        <v>6.3333333333333339E-2</v>
      </c>
      <c r="Z4" s="3">
        <f t="shared" si="0"/>
        <v>6.6666666666666666E-2</v>
      </c>
      <c r="AA4" s="3">
        <f t="shared" si="0"/>
        <v>7.0000000000000007E-2</v>
      </c>
      <c r="AB4" s="3">
        <f t="shared" si="0"/>
        <v>7.3333333333333334E-2</v>
      </c>
      <c r="AC4" s="3">
        <f t="shared" si="0"/>
        <v>7.6666666666666675E-2</v>
      </c>
      <c r="AD4" s="3">
        <f t="shared" si="0"/>
        <v>0.08</v>
      </c>
      <c r="AE4" s="3">
        <f t="shared" si="0"/>
        <v>8.3333333333333343E-2</v>
      </c>
      <c r="AF4" s="3">
        <f t="shared" si="0"/>
        <v>8.666666666666667E-2</v>
      </c>
      <c r="AG4" s="3">
        <f t="shared" si="0"/>
        <v>9.0000000000000011E-2</v>
      </c>
      <c r="AH4" s="3">
        <f t="shared" si="0"/>
        <v>9.3333333333333338E-2</v>
      </c>
      <c r="AI4" s="3">
        <f t="shared" si="0"/>
        <v>9.6666666666666679E-2</v>
      </c>
      <c r="AJ4" s="3">
        <f t="shared" si="0"/>
        <v>0.1</v>
      </c>
    </row>
    <row r="5" spans="2:36" x14ac:dyDescent="0.25">
      <c r="B5" s="1" t="s">
        <v>2</v>
      </c>
      <c r="C5" s="4">
        <f>(C9*C8*C4^2)/(2*C10)</f>
        <v>0.4333333333333334</v>
      </c>
      <c r="E5" s="21" t="s">
        <v>7</v>
      </c>
      <c r="F5" s="6">
        <f>G5+($C$11*($C$13-$C$14)*$C$4)/$C$10</f>
        <v>73364.123723767872</v>
      </c>
      <c r="G5" s="6">
        <v>73363.530245507005</v>
      </c>
      <c r="H5" s="6">
        <v>66799.408216814292</v>
      </c>
      <c r="I5" s="6">
        <v>60377.591675358031</v>
      </c>
      <c r="J5" s="6">
        <v>54163.391601233292</v>
      </c>
      <c r="K5" s="6">
        <v>48215.47116660449</v>
      </c>
      <c r="L5" s="6">
        <v>42584.203210567721</v>
      </c>
      <c r="M5" s="6">
        <v>37310.46158422275</v>
      </c>
      <c r="N5" s="6">
        <v>32424.889687222563</v>
      </c>
      <c r="O5" s="6">
        <v>27947.655827147901</v>
      </c>
      <c r="P5" s="6">
        <v>23888.672760600013</v>
      </c>
      <c r="Q5" s="6">
        <v>20248.230636983179</v>
      </c>
      <c r="R5" s="6">
        <v>17017.970661771717</v>
      </c>
      <c r="S5" s="6">
        <v>14182.112428822315</v>
      </c>
      <c r="T5" s="6">
        <v>11718.841482122045</v>
      </c>
      <c r="U5" s="6">
        <v>9601.7648790543644</v>
      </c>
      <c r="V5" s="6">
        <v>7801.3502801370632</v>
      </c>
      <c r="W5" s="6">
        <v>6286.2768413597587</v>
      </c>
      <c r="X5" s="6">
        <v>5024.6421375117243</v>
      </c>
      <c r="Y5" s="6">
        <v>3984.98667190781</v>
      </c>
      <c r="Z5" s="6">
        <v>3137.1145680842023</v>
      </c>
      <c r="AA5" s="6">
        <v>2452.7044390351352</v>
      </c>
      <c r="AB5" s="6">
        <v>1905.7172288112624</v>
      </c>
      <c r="AC5" s="6">
        <v>1472.6174779541818</v>
      </c>
      <c r="AD5" s="6">
        <v>1132.4308311278394</v>
      </c>
      <c r="AE5" s="6">
        <v>866.66386899635052</v>
      </c>
      <c r="AF5" s="6">
        <v>659.11294453005462</v>
      </c>
      <c r="AG5" s="6">
        <v>495.58723521389442</v>
      </c>
      <c r="AH5" s="6">
        <v>363.56836132485546</v>
      </c>
      <c r="AI5" s="6">
        <v>251.82534322126264</v>
      </c>
      <c r="AJ5" s="13">
        <f>C13</f>
        <v>150</v>
      </c>
    </row>
    <row r="6" spans="2:36" x14ac:dyDescent="0.25">
      <c r="B6" s="1" t="s">
        <v>3</v>
      </c>
      <c r="C6" s="1">
        <v>40</v>
      </c>
      <c r="D6">
        <v>40.300000000000004</v>
      </c>
      <c r="E6" s="1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8"/>
    </row>
    <row r="7" spans="2:36" x14ac:dyDescent="0.25">
      <c r="E7" s="21" t="s">
        <v>8</v>
      </c>
      <c r="F7" s="6"/>
      <c r="G7" s="6">
        <f>G10*H7+G11</f>
        <v>73399.122635882275</v>
      </c>
      <c r="H7" s="6">
        <f>H10*I7+H11</f>
        <v>66869.430052515061</v>
      </c>
      <c r="I7" s="6">
        <f t="shared" ref="I7:AH7" si="1">I10*J7+I11</f>
        <v>60479.781140549363</v>
      </c>
      <c r="J7" s="6">
        <f t="shared" si="1"/>
        <v>54294.511158966328</v>
      </c>
      <c r="K7" s="6">
        <f t="shared" si="1"/>
        <v>48371.480292849359</v>
      </c>
      <c r="L7" s="6">
        <f t="shared" si="1"/>
        <v>42760.467679222151</v>
      </c>
      <c r="M7" s="6">
        <f t="shared" si="1"/>
        <v>37501.98400290381</v>
      </c>
      <c r="N7" s="6">
        <f t="shared" si="1"/>
        <v>32626.545163947576</v>
      </c>
      <c r="O7" s="6">
        <f t="shared" si="1"/>
        <v>28154.41727844136</v>
      </c>
      <c r="P7" s="6">
        <f t="shared" si="1"/>
        <v>24095.812295522053</v>
      </c>
      <c r="Q7" s="6">
        <f t="shared" si="1"/>
        <v>20451.486382446808</v>
      </c>
      <c r="R7" s="6">
        <f t="shared" si="1"/>
        <v>17213.671960298816</v>
      </c>
      <c r="S7" s="6">
        <f t="shared" si="1"/>
        <v>14367.260135205019</v>
      </c>
      <c r="T7" s="6">
        <f t="shared" si="1"/>
        <v>11891.14372287663</v>
      </c>
      <c r="U7" s="6">
        <f t="shared" si="1"/>
        <v>9759.6317920574147</v>
      </c>
      <c r="V7" s="6">
        <f t="shared" si="1"/>
        <v>7943.8536872442974</v>
      </c>
      <c r="W7" s="6">
        <f t="shared" si="1"/>
        <v>6413.0823966456446</v>
      </c>
      <c r="X7" s="6">
        <f t="shared" si="1"/>
        <v>5135.9222166187628</v>
      </c>
      <c r="Y7" s="6">
        <f t="shared" si="1"/>
        <v>4081.3221948059577</v>
      </c>
      <c r="Z7" s="6">
        <f t="shared" si="1"/>
        <v>3219.3932187894461</v>
      </c>
      <c r="AA7" s="6">
        <f t="shared" si="1"/>
        <v>2522.0215441834198</v>
      </c>
      <c r="AB7" s="6">
        <f t="shared" si="1"/>
        <v>1963.2840798739612</v>
      </c>
      <c r="AC7" s="6">
        <f t="shared" si="1"/>
        <v>1519.6803176899002</v>
      </c>
      <c r="AD7" s="6">
        <f t="shared" si="1"/>
        <v>1170.202234977276</v>
      </c>
      <c r="AE7" s="6">
        <f t="shared" si="1"/>
        <v>896.2669599635251</v>
      </c>
      <c r="AF7" s="6">
        <f t="shared" si="1"/>
        <v>681.5378668841231</v>
      </c>
      <c r="AG7" s="6">
        <f t="shared" si="1"/>
        <v>511.65861851285803</v>
      </c>
      <c r="AH7" s="6">
        <f t="shared" si="1"/>
        <v>373.92213673952011</v>
      </c>
      <c r="AI7" s="6">
        <f>AI10*AJ7+AI11</f>
        <v>256.89320579551139</v>
      </c>
      <c r="AJ7" s="13">
        <f>AJ5</f>
        <v>150</v>
      </c>
    </row>
    <row r="8" spans="2:36" x14ac:dyDescent="0.25">
      <c r="B8" s="1" t="s">
        <v>4</v>
      </c>
      <c r="C8" s="1">
        <v>460</v>
      </c>
      <c r="E8" s="21" t="s">
        <v>9</v>
      </c>
      <c r="F8" s="6">
        <f>C13-C14</f>
        <v>130</v>
      </c>
      <c r="G8" s="6">
        <f>(F5-G5)*$C$10/($C$11*$C$4)</f>
        <v>129.9999999995288</v>
      </c>
      <c r="H8" s="6">
        <f t="shared" ref="H8:AI8" si="2">(G5-H5)*$C$10/($C$11*$C$4)</f>
        <v>1437855.3015231655</v>
      </c>
      <c r="I8" s="6">
        <f t="shared" si="2"/>
        <v>1406683.6233666092</v>
      </c>
      <c r="J8" s="6">
        <f t="shared" si="2"/>
        <v>1361205.7305225618</v>
      </c>
      <c r="K8" s="6">
        <f t="shared" si="2"/>
        <v>1302877.8094901186</v>
      </c>
      <c r="L8" s="6">
        <f t="shared" si="2"/>
        <v>1233515.8379890064</v>
      </c>
      <c r="M8" s="6">
        <f t="shared" si="2"/>
        <v>1155200.5467231839</v>
      </c>
      <c r="N8" s="6">
        <f t="shared" si="2"/>
        <v>1070172.8917238503</v>
      </c>
      <c r="O8" s="6">
        <f t="shared" si="2"/>
        <v>980727.41696873552</v>
      </c>
      <c r="P8" s="6">
        <f t="shared" si="2"/>
        <v>889110.57648191811</v>
      </c>
      <c r="Q8" s="6">
        <f t="shared" si="2"/>
        <v>797430.1794589255</v>
      </c>
      <c r="R8" s="6">
        <f t="shared" si="2"/>
        <v>707580.75647489156</v>
      </c>
      <c r="S8" s="6">
        <f t="shared" si="2"/>
        <v>621187.99388415471</v>
      </c>
      <c r="T8" s="6">
        <f t="shared" si="2"/>
        <v>539573.63594386855</v>
      </c>
      <c r="U8" s="6">
        <f t="shared" si="2"/>
        <v>463740.58924339659</v>
      </c>
      <c r="V8" s="6">
        <f t="shared" si="2"/>
        <v>394376.53119140881</v>
      </c>
      <c r="W8" s="6">
        <f t="shared" si="2"/>
        <v>331873.22944645718</v>
      </c>
      <c r="X8" s="6">
        <f>(W5-X5)*$C$10/($C$11*$C$4)</f>
        <v>276358.07798575988</v>
      </c>
      <c r="Y8" s="6">
        <f t="shared" si="2"/>
        <v>227734.0543703812</v>
      </c>
      <c r="Z8" s="6">
        <f t="shared" si="2"/>
        <v>185724.36559945688</v>
      </c>
      <c r="AA8" s="6">
        <f t="shared" si="2"/>
        <v>149918.40922027183</v>
      </c>
      <c r="AB8" s="6">
        <f t="shared" si="2"/>
        <v>119816.24604903879</v>
      </c>
      <c r="AC8" s="6">
        <f t="shared" si="2"/>
        <v>94869.469235360506</v>
      </c>
      <c r="AD8" s="6">
        <f t="shared" si="2"/>
        <v>74517.075019103577</v>
      </c>
      <c r="AE8" s="6">
        <f t="shared" si="2"/>
        <v>58215.620276421367</v>
      </c>
      <c r="AF8" s="6">
        <f t="shared" si="2"/>
        <v>45463.535835474329</v>
      </c>
      <c r="AG8" s="6">
        <f t="shared" si="2"/>
        <v>35819.917278777946</v>
      </c>
      <c r="AH8" s="6">
        <f t="shared" si="2"/>
        <v>28918.419994741867</v>
      </c>
      <c r="AI8" s="6">
        <f t="shared" si="2"/>
        <v>24477.042060786996</v>
      </c>
      <c r="AJ8" s="13"/>
    </row>
    <row r="9" spans="2:36" x14ac:dyDescent="0.25">
      <c r="B9" s="2" t="s">
        <v>6</v>
      </c>
      <c r="C9" s="1">
        <v>7800</v>
      </c>
      <c r="E9" s="1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8"/>
    </row>
    <row r="10" spans="2:36" x14ac:dyDescent="0.25">
      <c r="B10" s="2" t="s">
        <v>5</v>
      </c>
      <c r="C10" s="1">
        <v>46</v>
      </c>
      <c r="E10" s="21" t="s">
        <v>18</v>
      </c>
      <c r="F10" s="6">
        <v>0</v>
      </c>
      <c r="G10" s="6">
        <f>$C$15/($C$16-$C$17*F10)</f>
        <v>0.25</v>
      </c>
      <c r="H10" s="6">
        <f>$C$15/($C$16-$C$17*G10)</f>
        <v>0.26666666666666666</v>
      </c>
      <c r="I10" s="6">
        <f t="shared" ref="I10:AI10" si="3">$C$15/($C$16-$C$17*H10)</f>
        <v>0.26785714285714285</v>
      </c>
      <c r="J10" s="6">
        <f t="shared" si="3"/>
        <v>0.26794258373205743</v>
      </c>
      <c r="K10" s="6">
        <f t="shared" si="3"/>
        <v>0.26794871794871794</v>
      </c>
      <c r="L10" s="6">
        <f t="shared" si="3"/>
        <v>0.26794915836482308</v>
      </c>
      <c r="M10" s="6">
        <f t="shared" si="3"/>
        <v>0.26794918998527245</v>
      </c>
      <c r="N10" s="6">
        <f t="shared" si="3"/>
        <v>0.26794919225551855</v>
      </c>
      <c r="O10" s="6">
        <f t="shared" si="3"/>
        <v>0.26794919241851489</v>
      </c>
      <c r="P10" s="6">
        <f t="shared" si="3"/>
        <v>0.26794919243021753</v>
      </c>
      <c r="Q10" s="6">
        <f t="shared" si="3"/>
        <v>0.26794919243105775</v>
      </c>
      <c r="R10" s="6">
        <f t="shared" si="3"/>
        <v>0.26794919243111803</v>
      </c>
      <c r="S10" s="6">
        <f t="shared" si="3"/>
        <v>0.26794919243112236</v>
      </c>
      <c r="T10" s="6">
        <f t="shared" si="3"/>
        <v>0.2679491924311227</v>
      </c>
      <c r="U10" s="6">
        <f t="shared" si="3"/>
        <v>0.2679491924311227</v>
      </c>
      <c r="V10" s="6">
        <f t="shared" si="3"/>
        <v>0.2679491924311227</v>
      </c>
      <c r="W10" s="6">
        <f t="shared" si="3"/>
        <v>0.2679491924311227</v>
      </c>
      <c r="X10" s="6">
        <f t="shared" si="3"/>
        <v>0.2679491924311227</v>
      </c>
      <c r="Y10" s="6">
        <f t="shared" si="3"/>
        <v>0.2679491924311227</v>
      </c>
      <c r="Z10" s="6">
        <f t="shared" si="3"/>
        <v>0.2679491924311227</v>
      </c>
      <c r="AA10" s="6">
        <f t="shared" si="3"/>
        <v>0.2679491924311227</v>
      </c>
      <c r="AB10" s="6">
        <f t="shared" si="3"/>
        <v>0.2679491924311227</v>
      </c>
      <c r="AC10" s="6">
        <f t="shared" si="3"/>
        <v>0.2679491924311227</v>
      </c>
      <c r="AD10" s="6">
        <f t="shared" si="3"/>
        <v>0.2679491924311227</v>
      </c>
      <c r="AE10" s="6">
        <f t="shared" si="3"/>
        <v>0.2679491924311227</v>
      </c>
      <c r="AF10" s="6">
        <f t="shared" si="3"/>
        <v>0.2679491924311227</v>
      </c>
      <c r="AG10" s="6">
        <f t="shared" si="3"/>
        <v>0.2679491924311227</v>
      </c>
      <c r="AH10" s="6">
        <f t="shared" si="3"/>
        <v>0.2679491924311227</v>
      </c>
      <c r="AI10" s="6">
        <f t="shared" si="3"/>
        <v>0.2679491924311227</v>
      </c>
      <c r="AJ10" s="13"/>
    </row>
    <row r="11" spans="2:36" x14ac:dyDescent="0.25">
      <c r="B11" s="7" t="s">
        <v>12</v>
      </c>
      <c r="C11" s="8">
        <v>63</v>
      </c>
      <c r="E11" s="21" t="s">
        <v>19</v>
      </c>
      <c r="F11" s="6">
        <f>C12</f>
        <v>80000</v>
      </c>
      <c r="G11" s="6">
        <f>(F11*$C$17-G12)/($C$16-$C$17*F10)</f>
        <v>56681.76512275351</v>
      </c>
      <c r="H11" s="6">
        <f>(G11*$C$17-H12)/($C$16-$C$17*G10)</f>
        <v>50741.48841503523</v>
      </c>
      <c r="I11" s="6">
        <f t="shared" ref="I11:AH11" si="4">(H11*$C$17-I12)/($C$16-$C$17*H10)</f>
        <v>45936.608508683385</v>
      </c>
      <c r="J11" s="6">
        <f t="shared" si="4"/>
        <v>41333.731750355975</v>
      </c>
      <c r="K11" s="6">
        <f t="shared" si="4"/>
        <v>36913.867799314197</v>
      </c>
      <c r="L11" s="6">
        <f t="shared" si="4"/>
        <v>32711.842628633018</v>
      </c>
      <c r="M11" s="6">
        <f t="shared" si="4"/>
        <v>28759.727654206148</v>
      </c>
      <c r="N11" s="6">
        <f t="shared" si="4"/>
        <v>25082.591795764398</v>
      </c>
      <c r="O11" s="6">
        <f t="shared" si="4"/>
        <v>21697.963833188107</v>
      </c>
      <c r="P11" s="6">
        <f t="shared" si="4"/>
        <v>18615.853035347842</v>
      </c>
      <c r="Q11" s="6">
        <f t="shared" si="4"/>
        <v>15839.096881911597</v>
      </c>
      <c r="R11" s="6">
        <f t="shared" si="4"/>
        <v>13363.976209622835</v>
      </c>
      <c r="S11" s="6">
        <f t="shared" si="4"/>
        <v>11181.037777577816</v>
      </c>
      <c r="T11" s="6">
        <f t="shared" si="4"/>
        <v>9276.058265769736</v>
      </c>
      <c r="U11" s="6">
        <f t="shared" si="4"/>
        <v>7631.0826117693096</v>
      </c>
      <c r="V11" s="6">
        <f t="shared" si="4"/>
        <v>6225.4734380688478</v>
      </c>
      <c r="W11" s="6">
        <f t="shared" si="4"/>
        <v>5036.9161863135851</v>
      </c>
      <c r="X11" s="6">
        <f t="shared" si="4"/>
        <v>4042.3352304692889</v>
      </c>
      <c r="Y11" s="6">
        <f t="shared" si="4"/>
        <v>3218.6883817130929</v>
      </c>
      <c r="Z11" s="6">
        <f t="shared" si="4"/>
        <v>2543.6195827316055</v>
      </c>
      <c r="AA11" s="6">
        <f t="shared" si="4"/>
        <v>1995.9611604683121</v>
      </c>
      <c r="AB11" s="6">
        <f t="shared" si="4"/>
        <v>1556.0869659954806</v>
      </c>
      <c r="AC11" s="6">
        <f t="shared" si="4"/>
        <v>1206.1255738466443</v>
      </c>
      <c r="AD11" s="6">
        <f t="shared" si="4"/>
        <v>930.04822685235217</v>
      </c>
      <c r="AE11" s="6">
        <f t="shared" si="4"/>
        <v>713.64943892069437</v>
      </c>
      <c r="AF11" s="6">
        <f t="shared" si="4"/>
        <v>544.43935325317898</v>
      </c>
      <c r="AG11" s="6">
        <f t="shared" si="4"/>
        <v>411.46648394138379</v>
      </c>
      <c r="AH11" s="6">
        <f t="shared" si="4"/>
        <v>305.08780970557063</v>
      </c>
      <c r="AI11" s="6">
        <f>(AH11*$C$17-AI12)/($C$16-$C$17*AH10)</f>
        <v>216.70082693084299</v>
      </c>
      <c r="AJ11" s="13"/>
    </row>
    <row r="12" spans="2:36" x14ac:dyDescent="0.25">
      <c r="B12" s="1" t="s">
        <v>10</v>
      </c>
      <c r="C12" s="1">
        <v>80000</v>
      </c>
      <c r="E12" s="22" t="s">
        <v>20</v>
      </c>
      <c r="F12" s="15">
        <f>-($C$9*$C$8/$C$5)*F5</f>
        <v>-607454944432.79797</v>
      </c>
      <c r="G12" s="15">
        <f>-($C$9*$C$8/$C$5)*G5</f>
        <v>-607450030432.79797</v>
      </c>
      <c r="H12" s="15">
        <f t="shared" ref="H12:AH12" si="5">-($C$9*$C$8/$C$5)*H5</f>
        <v>-553099100035.22229</v>
      </c>
      <c r="I12" s="15">
        <f t="shared" si="5"/>
        <v>-499926459071.96442</v>
      </c>
      <c r="J12" s="15">
        <f t="shared" si="5"/>
        <v>-448472882458.21161</v>
      </c>
      <c r="K12" s="15">
        <f t="shared" si="5"/>
        <v>-399224101259.48511</v>
      </c>
      <c r="L12" s="15">
        <f t="shared" si="5"/>
        <v>-352597202583.50067</v>
      </c>
      <c r="M12" s="15">
        <f t="shared" si="5"/>
        <v>-308930621917.36432</v>
      </c>
      <c r="N12" s="15">
        <f t="shared" si="5"/>
        <v>-268478086610.20279</v>
      </c>
      <c r="O12" s="15">
        <f t="shared" si="5"/>
        <v>-231406590248.78461</v>
      </c>
      <c r="P12" s="15">
        <f t="shared" si="5"/>
        <v>-197798210457.7681</v>
      </c>
      <c r="Q12" s="15">
        <f t="shared" si="5"/>
        <v>-167655349674.2207</v>
      </c>
      <c r="R12" s="15">
        <f t="shared" si="5"/>
        <v>-140908797079.46979</v>
      </c>
      <c r="S12" s="15">
        <f t="shared" si="5"/>
        <v>-117427890910.64876</v>
      </c>
      <c r="T12" s="15">
        <f t="shared" si="5"/>
        <v>-97032007471.97052</v>
      </c>
      <c r="U12" s="15">
        <f t="shared" si="5"/>
        <v>-79502613198.570129</v>
      </c>
      <c r="V12" s="15">
        <f t="shared" si="5"/>
        <v>-64595180319.534874</v>
      </c>
      <c r="W12" s="15">
        <f t="shared" si="5"/>
        <v>-52050372246.458794</v>
      </c>
      <c r="X12" s="15">
        <f t="shared" si="5"/>
        <v>-41604036898.597069</v>
      </c>
      <c r="Y12" s="15">
        <f t="shared" si="5"/>
        <v>-32995689643.396664</v>
      </c>
      <c r="Z12" s="15">
        <f t="shared" si="5"/>
        <v>-25975308623.737194</v>
      </c>
      <c r="AA12" s="15">
        <f t="shared" si="5"/>
        <v>-20308392755.210918</v>
      </c>
      <c r="AB12" s="15">
        <f t="shared" si="5"/>
        <v>-15779338654.557251</v>
      </c>
      <c r="AC12" s="15">
        <f t="shared" si="5"/>
        <v>-12193272717.460625</v>
      </c>
      <c r="AD12" s="15">
        <f t="shared" si="5"/>
        <v>-9376527281.7385082</v>
      </c>
      <c r="AE12" s="15">
        <f t="shared" si="5"/>
        <v>-7175976835.2897816</v>
      </c>
      <c r="AF12" s="15">
        <f t="shared" si="5"/>
        <v>-5457455180.7088518</v>
      </c>
      <c r="AG12" s="15">
        <f t="shared" si="5"/>
        <v>-4103462307.5710454</v>
      </c>
      <c r="AH12" s="15">
        <f t="shared" si="5"/>
        <v>-3010346031.769803</v>
      </c>
      <c r="AI12" s="15">
        <f>-($C$9*$C$8/$C$5)*AI5</f>
        <v>-2085113841.8720543</v>
      </c>
      <c r="AJ12" s="16"/>
    </row>
    <row r="13" spans="2:36" x14ac:dyDescent="0.25">
      <c r="B13" s="1" t="s">
        <v>11</v>
      </c>
      <c r="C13" s="1">
        <v>150</v>
      </c>
    </row>
    <row r="14" spans="2:36" x14ac:dyDescent="0.25">
      <c r="B14" s="8" t="s">
        <v>13</v>
      </c>
      <c r="C14" s="1">
        <v>20</v>
      </c>
    </row>
    <row r="15" spans="2:36" x14ac:dyDescent="0.25">
      <c r="B15" s="9" t="s">
        <v>15</v>
      </c>
      <c r="C15" s="11">
        <f>C10/(C4^(2))</f>
        <v>4139999.9999999991</v>
      </c>
    </row>
    <row r="16" spans="2:36" x14ac:dyDescent="0.25">
      <c r="B16" s="12" t="s">
        <v>16</v>
      </c>
      <c r="C16" s="13">
        <f>2*C10/(C4^(2))+C9*C8/C5</f>
        <v>16559999.999999996</v>
      </c>
    </row>
    <row r="17" spans="2:3" x14ac:dyDescent="0.25">
      <c r="B17" s="14" t="s">
        <v>17</v>
      </c>
      <c r="C17" s="16">
        <f>C10/(C4^(2))</f>
        <v>4139999.9999999991</v>
      </c>
    </row>
    <row r="18" spans="2:3" x14ac:dyDescent="0.25">
      <c r="B18" s="5"/>
      <c r="C18" s="6"/>
    </row>
    <row r="19" spans="2:3" x14ac:dyDescent="0.25">
      <c r="B19" s="6"/>
      <c r="C19" s="6"/>
    </row>
    <row r="20" spans="2:3" x14ac:dyDescent="0.25">
      <c r="B20" s="6"/>
      <c r="C20" s="6"/>
    </row>
    <row r="21" spans="2:3" x14ac:dyDescent="0.25">
      <c r="B21" s="6"/>
      <c r="C21" s="6"/>
    </row>
  </sheetData>
  <conditionalFormatting sqref="F5:AJ5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ГР_1 рода</vt:lpstr>
      <vt:lpstr>ГР_2 рода</vt:lpstr>
      <vt:lpstr>ГР_3 рода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</dc:creator>
  <cp:lastModifiedBy>Артём</cp:lastModifiedBy>
  <dcterms:created xsi:type="dcterms:W3CDTF">2021-03-21T16:37:37Z</dcterms:created>
  <dcterms:modified xsi:type="dcterms:W3CDTF">2021-04-05T17:24:46Z</dcterms:modified>
</cp:coreProperties>
</file>